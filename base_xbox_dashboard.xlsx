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0517cee4a74f0/Documentos/Coding/Excel/"/>
    </mc:Choice>
  </mc:AlternateContent>
  <xr:revisionPtr revIDLastSave="321" documentId="8_{837DB710-9DCB-4CCE-A612-B74EF336FC34}" xr6:coauthVersionLast="47" xr6:coauthVersionMax="47" xr10:uidLastSave="{635238A7-7A7F-4669-9AEA-17C0E6BB2CBA}"/>
  <bookViews>
    <workbookView xWindow="-11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8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3" i="3" l="1"/>
  <c r="M297" i="2"/>
  <c r="H1" i="3"/>
  <c r="D15" i="3"/>
  <c r="D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tc={C7CFA0B0-BC3B-4877-8EF3-72E30D30B88C}</author>
    <author>tc={7132F360-58EC-4856-8ECA-BB89E597934C}</author>
    <author>tc={EC13E2F0-2237-42AA-9A77-416FCA828735}</author>
    <author>tc={6D1613BC-2145-49F3-A8D3-4CCB919B0D31}</author>
    <author>tc={CF5C53AC-D029-4F04-BDA6-F7145EAA520E}</author>
    <author>tc={CD92940C-4C57-4D4D-B248-10561C7133AE}</author>
  </authors>
  <commentList>
    <comment ref="C1" authorId="0" shapeId="0" xr:uid="{C7CFA0B0-BC3B-4877-8EF3-72E30D30B8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Tipo de plano do "netflix de jogos"</t>
      </text>
    </comment>
    <comment ref="D1" authorId="1" shapeId="0" xr:uid="{7132F360-58EC-4856-8ECA-BB89E59793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de início do plano</t>
      </text>
    </comment>
    <comment ref="E1" authorId="2" shapeId="0" xr:uid="{EC13E2F0-2237-42AA-9A77-416FCA8287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É automaticamente renovado o plano?</t>
      </text>
    </comment>
    <comment ref="H1" authorId="3" shapeId="0" xr:uid="{6D1613BC-2145-49F3-A8D3-4CCB919B0D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Adicional de assinatura foi adquirida?</t>
      </text>
    </comment>
    <comment ref="J1" authorId="4" shapeId="0" xr:uid="{CF5C53AC-D029-4F04-BDA6-F7145EAA52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Inclusão da assinatura do Minecraft?</t>
      </text>
    </comment>
    <comment ref="L1" authorId="5" shapeId="0" xr:uid="{CD92940C-4C57-4D4D-B248-10561C7133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Cupom de desconto</t>
      </text>
    </comment>
  </commentList>
</comments>
</file>

<file path=xl/sharedStrings.xml><?xml version="1.0" encoding="utf-8"?>
<sst xmlns="http://schemas.openxmlformats.org/spreadsheetml/2006/main" count="2048" uniqueCount="342">
  <si>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</si>
  <si>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</si>
  <si>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</si>
  <si>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</si>
  <si>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</si>
  <si>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</si>
  <si>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</si>
  <si>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</si>
  <si>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</si>
  <si>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</si>
  <si>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</si>
  <si>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</si>
  <si>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</si>
  <si>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</si>
  <si>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</si>
  <si>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</si>
  <si>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</si>
  <si>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</si>
  <si>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</si>
  <si>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</si>
  <si>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</si>
  <si>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</si>
  <si>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</si>
  <si>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</si>
  <si>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</si>
  <si>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</si>
  <si>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</si>
  <si>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</si>
  <si>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</si>
  <si>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</si>
  <si>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</si>
  <si>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</si>
  <si>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</si>
  <si>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</si>
  <si>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</si>
  <si>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</si>
  <si>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</si>
  <si>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</si>
  <si>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</si>
  <si>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</si>
  <si>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</si>
  <si>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</si>
  <si>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</si>
  <si>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</si>
  <si>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</si>
  <si>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</si>
  <si>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</si>
  <si>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</si>
  <si>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</si>
  <si>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</si>
  <si>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</si>
  <si>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</si>
  <si>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</si>
  <si>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</si>
  <si>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</si>
  <si>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</si>
  <si>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</si>
  <si>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</si>
  <si>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</si>
  <si>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</si>
  <si>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</si>
  <si>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</si>
  <si>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</si>
  <si>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</si>
  <si>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</si>
  <si>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</si>
  <si>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</si>
  <si>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</si>
  <si>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</si>
  <si>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</si>
  <si>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</si>
  <si>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</si>
  <si>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</si>
  <si>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</si>
  <si>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</si>
  <si>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</si>
  <si>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</si>
  <si>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</si>
  <si>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</si>
  <si>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</si>
  <si>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</si>
  <si>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</si>
  <si>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</si>
  <si>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</si>
  <si>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</si>
  <si>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</si>
  <si>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</si>
  <si>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</si>
  <si>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</si>
  <si>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</si>
  <si>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</si>
  <si>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</si>
  <si>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</si>
  <si>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</si>
  <si>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</si>
  <si>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</si>
  <si>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</si>
  <si>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</si>
  <si>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</si>
  <si>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</si>
  <si>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</si>
  <si>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</si>
  <si>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</si>
  <si>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</si>
  <si>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</si>
  <si>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</si>
  <si>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</si>
  <si>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</si>
  <si>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</si>
  <si>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</si>
  <si>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</si>
  <si>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</si>
  <si>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</si>
  <si>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</si>
  <si>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</si>
  <si>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</si>
  <si>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</si>
  <si>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</si>
  <si>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</si>
  <si>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</si>
  <si>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</si>
  <si>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</si>
  <si>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</si>
  <si>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</si>
  <si>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</si>
  <si>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</si>
  <si>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</si>
  <si>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</si>
  <si>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</si>
  <si>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</si>
  <si>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</si>
  <si>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</si>
  <si>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</si>
  <si>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</si>
  <si>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</si>
  <si>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</si>
  <si>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</si>
  <si>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</si>
  <si>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</si>
  <si>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</si>
  <si>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</si>
  <si>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</si>
  <si>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</si>
  <si>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</si>
  <si>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</si>
  <si>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</si>
  <si>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</si>
  <si>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</si>
  <si>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</si>
  <si>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</si>
  <si>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</si>
  <si>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</si>
  <si>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</si>
  <si>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</si>
  <si>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</si>
  <si>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</si>
  <si>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</si>
  <si>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</si>
  <si>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</si>
  <si>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</si>
  <si>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</si>
  <si>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</si>
  <si>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</si>
  <si>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</si>
  <si>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</si>
  <si>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</si>
  <si>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</si>
  <si>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</si>
  <si>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</si>
  <si>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</si>
  <si>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</si>
  <si>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</si>
  <si>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</si>
  <si>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</si>
  <si>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</si>
  <si>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</si>
  <si>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</si>
  <si>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</si>
  <si>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</si>
  <si>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</si>
  <si>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</si>
  <si>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</si>
  <si>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</si>
  <si>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</si>
  <si>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</si>
  <si>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</si>
  <si>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</si>
  <si>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</si>
  <si>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</si>
  <si>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</si>
  <si>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</si>
  <si>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</si>
  <si>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</si>
  <si>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</si>
  <si>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</si>
  <si>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</si>
  <si>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</si>
  <si>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</si>
  <si>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</si>
  <si>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</si>
  <si>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</si>
  <si>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</si>
  <si>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</si>
  <si>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</si>
  <si>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</si>
  <si>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</si>
  <si>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</si>
  <si>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</si>
  <si>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</si>
  <si>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</si>
  <si>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</si>
  <si>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</si>
  <si>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</si>
  <si>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</si>
  <si>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</si>
  <si>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</si>
  <si>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</si>
  <si>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</si>
  <si>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</si>
  <si>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</si>
  <si>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</si>
  <si>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</si>
  <si>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</si>
  <si>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</si>
  <si>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</si>
  <si>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</si>
  <si>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</si>
  <si>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</si>
  <si>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</si>
  <si>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</si>
  <si>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</si>
  <si>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</si>
  <si>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</si>
  <si>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</si>
  <si>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</si>
  <si>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</si>
  <si>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</si>
  <si>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</si>
  <si>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</si>
  <si>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</si>
  <si>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</si>
  <si>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</si>
  <si>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</si>
  <si>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</si>
  <si>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</si>
  <si>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</si>
  <si>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</si>
  <si>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</si>
  <si>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</si>
  <si>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</si>
  <si>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</si>
  <si>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</si>
  <si>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</si>
  <si>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</si>
  <si>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</si>
  <si>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</si>
  <si>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</si>
  <si>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</si>
  <si>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</si>
  <si>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</si>
  <si>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</si>
  <si>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</si>
  <si>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</si>
  <si>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</si>
  <si>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</si>
  <si>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</si>
  <si>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</si>
  <si>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</si>
  <si>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</si>
  <si>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</si>
  <si>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</si>
  <si>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</si>
  <si>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</si>
  <si>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</si>
  <si>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</si>
  <si>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</si>
  <si>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</si>
  <si>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</si>
  <si>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</si>
  <si>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</si>
  <si>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</si>
  <si>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</si>
  <si>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</si>
  <si>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</si>
  <si>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</si>
  <si>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</si>
  <si>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</si>
  <si>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</si>
  <si>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</si>
  <si>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</si>
  <si>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</si>
  <si>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</si>
  <si>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</si>
  <si>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</si>
  <si>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</si>
  <si>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</si>
  <si>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</si>
  <si>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</si>
  <si>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</si>
  <si>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</si>
  <si>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</si>
  <si>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</si>
  <si>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</si>
  <si>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</si>
  <si>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</si>
  <si>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</si>
  <si>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</si>
  <si>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</si>
  <si>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</si>
  <si>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</si>
  <si>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</si>
  <si>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</si>
  <si>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</si>
  <si>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</si>
  <si>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</si>
  <si>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</si>
  <si>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Pergunta 1: Qual é o faturamento de planos anuais (contendo todas as assinaturas agregadas)?</t>
  </si>
  <si>
    <t>Pergunta 2: Qual é o faturamento de plano anuais separado por renováveis e não renováveis?</t>
  </si>
  <si>
    <t>Soma de EA Play Season Pass</t>
  </si>
  <si>
    <t>*O EA Pass é atrelado ao plano Ultimate, então os zeros se tornam dados mortos</t>
  </si>
  <si>
    <t>*BIG NUMBER</t>
  </si>
  <si>
    <t>Soma de Minecraft Season Pass Price</t>
  </si>
  <si>
    <t>BIG NUMBER</t>
  </si>
  <si>
    <t xml:space="preserve">         XBOX GAME PASS SUBSCRIPTION SALES</t>
  </si>
  <si>
    <t>Pergunta de Negócio 3: Total de vendas de Assinatura do EA Play?</t>
  </si>
  <si>
    <t>Pergunta de negócio 4: Total de vendas de assinaturar o Minecraft Season Pass?</t>
  </si>
  <si>
    <t>Pergunta 5: Qual plano teve mais adesão durante o ano?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</si>
  <si>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</si>
  <si>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</si>
  <si>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</si>
  <si>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</si>
  <si>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</si>
  <si>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</si>
  <si>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</si>
  <si>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</si>
  <si>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</si>
  <si>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</si>
  <si>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</si>
  <si>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</si>
  <si>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Subscriber ID</t>
  </si>
  <si>
    <t>(Tudo)</t>
  </si>
  <si>
    <t>Faturamento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</si>
</sst>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rgb="FF22C55E"/>
      <name val="Aharoni"/>
      <charset val="177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2" applyFont="1"/>
    <xf numFmtId="0" fontId="0" fillId="8" borderId="0" xfId="0" applyFill="1"/>
    <xf numFmtId="0" fontId="0" fillId="0" borderId="0" xfId="0" applyNumberFormat="1"/>
    <xf numFmtId="0" fontId="4" fillId="8" borderId="2" xfId="0" applyFont="1" applyFill="1" applyBorder="1" applyAlignment="1">
      <alignment horizontal="left"/>
    </xf>
    <xf numFmtId="44" fontId="3" fillId="0" borderId="0" xfId="2" applyFont="1" applyAlignment="1">
      <alignment horizontal="center" vertical="center" wrapText="1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AE6B1"/>
      <color rgb="FF22C55E"/>
      <color rgb="FF5BF6A8"/>
      <color rgb="FFE8E6E9"/>
      <color rgb="FFFFFFFF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[base_xbox_dashboard.xlsx]C̳álculos!tbl_anual_total</c:name>
    <c:fmtId val="9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22496601279504E-2"/>
          <c:y val="0"/>
          <c:w val="0.9514775033987205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C̳álculos!$A$6:$A$9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C̳álculos!$B$6:$B$9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B-4285-97BC-06DFDF669D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5797360"/>
        <c:axId val="355787760"/>
      </c:barChart>
      <c:catAx>
        <c:axId val="355797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5787760"/>
        <c:crosses val="autoZero"/>
        <c:auto val="1"/>
        <c:lblAlgn val="ctr"/>
        <c:lblOffset val="100"/>
        <c:noMultiLvlLbl val="0"/>
      </c:catAx>
      <c:valAx>
        <c:axId val="355787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5579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[base_xbox_dashboard.xlsx]C̳álculos!tbl_groiwing_anual</c:name>
    <c:fmtId val="9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C̳álculos!$A$35:$A$47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C̳álculos!$B$35:$B$47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3-4C63-9DD8-54F42B85C3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42507664"/>
        <c:axId val="742508624"/>
      </c:barChart>
      <c:catAx>
        <c:axId val="7425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2508624"/>
        <c:crosses val="autoZero"/>
        <c:auto val="1"/>
        <c:lblAlgn val="ctr"/>
        <c:lblOffset val="100"/>
        <c:noMultiLvlLbl val="0"/>
      </c:catAx>
      <c:valAx>
        <c:axId val="742508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250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[base_xbox_dashboard.xlsx]C̳álculos!Tabela dinâmica9</c:name>
    <c:fmtId val="9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08270676691729E-2"/>
          <c:y val="6.2857142857142861E-2"/>
          <c:w val="0.94887218045112787"/>
          <c:h val="0.833609898762654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C̳álculos!$G$3:$G$6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C̳álculos!$H$3:$H$6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C-410A-B09E-5750A11A62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3683344"/>
        <c:axId val="893687184"/>
      </c:barChart>
      <c:catAx>
        <c:axId val="8936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687184"/>
        <c:crosses val="autoZero"/>
        <c:auto val="1"/>
        <c:lblAlgn val="ctr"/>
        <c:lblOffset val="100"/>
        <c:noMultiLvlLbl val="0"/>
      </c:catAx>
      <c:valAx>
        <c:axId val="893687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368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10" Type="http://schemas.openxmlformats.org/officeDocument/2006/relationships/image" Target="../media/image1.pn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148318</xdr:colOff>
      <xdr:row>22</xdr:row>
      <xdr:rowOff>59870</xdr:rowOff>
    </xdr:from>
    <xdr:to>
      <xdr:col>6</xdr:col>
      <xdr:colOff>476780</xdr:colOff>
      <xdr:row>26</xdr:row>
      <xdr:rowOff>50345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579461" y="4214584"/>
          <a:ext cx="1544033" cy="716190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54429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54429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54429</xdr:rowOff>
    </xdr:to>
    <xdr:sp macro="" textlink="">
      <xdr:nvSpPr>
        <xdr:cNvPr id="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DF080B54-0FD2-4734-8C42-D192AF6C0A7C}"/>
            </a:ext>
          </a:extLst>
        </xdr:cNvPr>
        <xdr:cNvSpPr>
          <a:spLocks noChangeAspect="1" noChangeArrowheads="1"/>
        </xdr:cNvSpPr>
      </xdr:nvSpPr>
      <xdr:spPr bwMode="auto">
        <a:xfrm>
          <a:off x="144716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54429</xdr:rowOff>
    </xdr:to>
    <xdr:sp macro="" textlink="">
      <xdr:nvSpPr>
        <xdr:cNvPr id="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A612901-2288-4F7B-A2A2-7ECB39A901B2}"/>
            </a:ext>
          </a:extLst>
        </xdr:cNvPr>
        <xdr:cNvSpPr>
          <a:spLocks noChangeAspect="1" noChangeArrowheads="1"/>
        </xdr:cNvSpPr>
      </xdr:nvSpPr>
      <xdr:spPr bwMode="auto">
        <a:xfrm>
          <a:off x="158178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56286</xdr:colOff>
      <xdr:row>1</xdr:row>
      <xdr:rowOff>0</xdr:rowOff>
    </xdr:from>
    <xdr:to>
      <xdr:col>3</xdr:col>
      <xdr:colOff>103909</xdr:colOff>
      <xdr:row>4</xdr:row>
      <xdr:rowOff>80818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80EF07-846F-482F-B69D-A1BDE9634B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7" t="20844" r="71031" b="23293"/>
        <a:stretch>
          <a:fillRect/>
        </a:stretch>
      </xdr:blipFill>
      <xdr:spPr>
        <a:xfrm>
          <a:off x="2134468" y="184727"/>
          <a:ext cx="901986" cy="773546"/>
        </a:xfrm>
        <a:prstGeom prst="rect">
          <a:avLst/>
        </a:prstGeom>
      </xdr:spPr>
    </xdr:pic>
    <xdr:clientData/>
  </xdr:twoCellAnchor>
  <xdr:twoCellAnchor>
    <xdr:from>
      <xdr:col>1</xdr:col>
      <xdr:colOff>134216</xdr:colOff>
      <xdr:row>14</xdr:row>
      <xdr:rowOff>141556</xdr:rowOff>
    </xdr:from>
    <xdr:to>
      <xdr:col>11</xdr:col>
      <xdr:colOff>245547</xdr:colOff>
      <xdr:row>25</xdr:row>
      <xdr:rowOff>39986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5E3B26DA-F79F-6D51-5E04-BB9C380AFB54}"/>
            </a:ext>
          </a:extLst>
        </xdr:cNvPr>
        <xdr:cNvGrpSpPr/>
      </xdr:nvGrpSpPr>
      <xdr:grpSpPr>
        <a:xfrm>
          <a:off x="2217016" y="3049856"/>
          <a:ext cx="5851731" cy="1993930"/>
          <a:chOff x="2251364" y="1011382"/>
          <a:chExt cx="5733142" cy="1921359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30CCB46-48D0-659D-5622-CFC76E7ED1A7}"/>
              </a:ext>
            </a:extLst>
          </xdr:cNvPr>
          <xdr:cNvSpPr/>
        </xdr:nvSpPr>
        <xdr:spPr>
          <a:xfrm>
            <a:off x="2251364" y="1023034"/>
            <a:ext cx="5726506" cy="1697076"/>
          </a:xfrm>
          <a:prstGeom prst="roundRect">
            <a:avLst>
              <a:gd name="adj" fmla="val 5783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15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220356A-454F-42E3-8C8F-F06B1963856F}"/>
              </a:ext>
            </a:extLst>
          </xdr:cNvPr>
          <xdr:cNvSpPr/>
        </xdr:nvSpPr>
        <xdr:spPr>
          <a:xfrm>
            <a:off x="3722791" y="1606756"/>
            <a:ext cx="4106564" cy="1004936"/>
          </a:xfrm>
          <a:prstGeom prst="roundRect">
            <a:avLst>
              <a:gd name="adj" fmla="val 5783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ADA44488-E28C-4E95-82B2-7A2281DB5E2A}" type="TxLink">
              <a:rPr lang="en-US" sz="48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R$ 990,00 </a:t>
            </a:fld>
            <a:endParaRPr lang="pt-BR" sz="4800">
              <a:solidFill>
                <a:srgbClr val="2AE6B1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6154FE45-A9E0-42D9-A5B2-A58D002F4E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99674" y="1285707"/>
            <a:ext cx="1737507" cy="1647034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6BE5B474-B26D-3C0D-A8BB-3FEA87929B54}"/>
              </a:ext>
            </a:extLst>
          </xdr:cNvPr>
          <xdr:cNvSpPr/>
        </xdr:nvSpPr>
        <xdr:spPr>
          <a:xfrm>
            <a:off x="2255512" y="1011382"/>
            <a:ext cx="5728994" cy="4827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EA PLAY</a:t>
            </a:r>
            <a:r>
              <a:rPr lang="pt-BR" sz="1400" b="1" baseline="0"/>
              <a:t> SEASON PASS SALES</a:t>
            </a:r>
            <a:endParaRPr lang="pt-BR" sz="1400" b="1"/>
          </a:p>
        </xdr:txBody>
      </xdr:sp>
    </xdr:grpSp>
    <xdr:clientData/>
  </xdr:twoCellAnchor>
  <xdr:twoCellAnchor>
    <xdr:from>
      <xdr:col>11</xdr:col>
      <xdr:colOff>376919</xdr:colOff>
      <xdr:row>14</xdr:row>
      <xdr:rowOff>141556</xdr:rowOff>
    </xdr:from>
    <xdr:to>
      <xdr:col>21</xdr:col>
      <xdr:colOff>190500</xdr:colOff>
      <xdr:row>24</xdr:row>
      <xdr:rowOff>12083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1A68F3B1-553D-CFD4-6F42-3C6672E05C12}"/>
            </a:ext>
          </a:extLst>
        </xdr:cNvPr>
        <xdr:cNvGrpSpPr/>
      </xdr:nvGrpSpPr>
      <xdr:grpSpPr>
        <a:xfrm>
          <a:off x="8200119" y="3049856"/>
          <a:ext cx="5757181" cy="1775527"/>
          <a:chOff x="8418946" y="1011382"/>
          <a:chExt cx="5743206" cy="1708728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8937998E-EF0A-E96A-9DB6-A3C5B3D3C784}"/>
              </a:ext>
            </a:extLst>
          </xdr:cNvPr>
          <xdr:cNvSpPr/>
        </xdr:nvSpPr>
        <xdr:spPr>
          <a:xfrm>
            <a:off x="8418946" y="1023034"/>
            <a:ext cx="5726455" cy="1697076"/>
          </a:xfrm>
          <a:prstGeom prst="roundRect">
            <a:avLst>
              <a:gd name="adj" fmla="val 5783"/>
            </a:avLst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5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BB574340-0C34-BABE-6C3E-FD4AE90826C2}"/>
              </a:ext>
            </a:extLst>
          </xdr:cNvPr>
          <xdr:cNvSpPr/>
        </xdr:nvSpPr>
        <xdr:spPr>
          <a:xfrm>
            <a:off x="10017359" y="1606756"/>
            <a:ext cx="4106528" cy="1004936"/>
          </a:xfrm>
          <a:prstGeom prst="roundRect">
            <a:avLst>
              <a:gd name="adj" fmla="val 5783"/>
            </a:avLst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24974167-5FE9-4BE2-81F2-A2DDCF385185}" type="TxLink">
              <a:rPr lang="en-US" sz="4800" b="0" i="0" u="none" strike="noStrike">
                <a:solidFill>
                  <a:srgbClr val="2AE6B1"/>
                </a:solidFill>
                <a:latin typeface="Aptos Narrow"/>
              </a:rPr>
              <a:t> R$ 1.140,00 </a:t>
            </a:fld>
            <a:endParaRPr lang="pt-BR" sz="4800">
              <a:solidFill>
                <a:srgbClr val="2AE6B1"/>
              </a:solidFill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E069F5AC-0E0E-5F16-CB02-69C357984926}"/>
              </a:ext>
            </a:extLst>
          </xdr:cNvPr>
          <xdr:cNvSpPr/>
        </xdr:nvSpPr>
        <xdr:spPr>
          <a:xfrm>
            <a:off x="8423095" y="1011382"/>
            <a:ext cx="5739057" cy="482739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baseline="0"/>
              <a:t>TOTAL MINECRAFT SEASON PASS SALES</a:t>
            </a: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47E954F-9025-46E2-BB28-17B7177B1EE7}"/>
              </a:ext>
            </a:extLst>
          </xdr:cNvPr>
          <xdr:cNvGrpSpPr/>
        </xdr:nvGrpSpPr>
        <xdr:grpSpPr>
          <a:xfrm>
            <a:off x="8716819" y="1751129"/>
            <a:ext cx="1544033" cy="716190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61FFB403-F3A7-F5C3-A5AE-E2F83820A1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AEB7D80D-856E-30C1-67AC-62CA753288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109682</xdr:colOff>
      <xdr:row>24</xdr:row>
      <xdr:rowOff>179573</xdr:rowOff>
    </xdr:from>
    <xdr:to>
      <xdr:col>21</xdr:col>
      <xdr:colOff>206375</xdr:colOff>
      <xdr:row>44</xdr:row>
      <xdr:rowOff>65768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07E078EA-F085-B3FC-D10E-B0330BA43565}"/>
            </a:ext>
          </a:extLst>
        </xdr:cNvPr>
        <xdr:cNvGrpSpPr/>
      </xdr:nvGrpSpPr>
      <xdr:grpSpPr>
        <a:xfrm>
          <a:off x="2192482" y="4992873"/>
          <a:ext cx="11780693" cy="3696195"/>
          <a:chOff x="2218171" y="2919557"/>
          <a:chExt cx="11815329" cy="4192443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086BDD74-5604-46A8-9A4A-02B64F702046}"/>
              </a:ext>
            </a:extLst>
          </xdr:cNvPr>
          <xdr:cNvSpPr/>
        </xdr:nvSpPr>
        <xdr:spPr>
          <a:xfrm>
            <a:off x="2243568" y="3138344"/>
            <a:ext cx="11778386" cy="3973656"/>
          </a:xfrm>
          <a:prstGeom prst="roundRect">
            <a:avLst>
              <a:gd name="adj" fmla="val 3594"/>
            </a:avLst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AD9A358-9667-4C34-BC3C-CE2F2A754816}"/>
              </a:ext>
            </a:extLst>
          </xdr:cNvPr>
          <xdr:cNvGraphicFramePr>
            <a:graphicFrameLocks/>
          </xdr:cNvGraphicFramePr>
        </xdr:nvGraphicFramePr>
        <xdr:xfrm>
          <a:off x="2651125" y="3644755"/>
          <a:ext cx="10906126" cy="31149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4D3BE6B5-D1C3-42A3-9CDB-ADF787A135EA}"/>
              </a:ext>
            </a:extLst>
          </xdr:cNvPr>
          <xdr:cNvSpPr/>
        </xdr:nvSpPr>
        <xdr:spPr>
          <a:xfrm>
            <a:off x="2218171" y="2919557"/>
            <a:ext cx="11815329" cy="494284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  XBOX GAME </a:t>
            </a:r>
            <a:r>
              <a:rPr lang="pt-BR" sz="1400" b="1" baseline="0">
                <a:latin typeface="Amasis MT Pro" panose="020F0502020204030204" pitchFamily="18" charset="0"/>
              </a:rPr>
              <a:t>PASS</a:t>
            </a:r>
            <a:endParaRPr lang="pt-BR" sz="1400" b="1">
              <a:latin typeface="Amasis MT Pro" panose="020F0502020204030204" pitchFamily="18" charset="0"/>
            </a:endParaRPr>
          </a:p>
        </xdr:txBody>
      </xdr:sp>
    </xdr:grpSp>
    <xdr:clientData/>
  </xdr:twoCellAnchor>
  <xdr:twoCellAnchor>
    <xdr:from>
      <xdr:col>0</xdr:col>
      <xdr:colOff>138546</xdr:colOff>
      <xdr:row>1</xdr:row>
      <xdr:rowOff>11545</xdr:rowOff>
    </xdr:from>
    <xdr:to>
      <xdr:col>0</xdr:col>
      <xdr:colOff>1085273</xdr:colOff>
      <xdr:row>5</xdr:row>
      <xdr:rowOff>69271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A420261C-AAF5-406F-9371-A2735966CF9D}"/>
            </a:ext>
          </a:extLst>
        </xdr:cNvPr>
        <xdr:cNvSpPr/>
      </xdr:nvSpPr>
      <xdr:spPr>
        <a:xfrm>
          <a:off x="138546" y="196272"/>
          <a:ext cx="946727" cy="88899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127001</xdr:colOff>
      <xdr:row>6</xdr:row>
      <xdr:rowOff>138545</xdr:rowOff>
    </xdr:from>
    <xdr:ext cx="1694310" cy="307777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AFF93E2-919E-830C-446B-1AD8FD8C46AF}"/>
            </a:ext>
          </a:extLst>
        </xdr:cNvPr>
        <xdr:cNvSpPr txBox="1"/>
      </xdr:nvSpPr>
      <xdr:spPr>
        <a:xfrm>
          <a:off x="127001" y="1270000"/>
          <a:ext cx="1694310" cy="3077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  <a:latin typeface="Amasis MT Pro" panose="02040504050005020304" pitchFamily="18" charset="0"/>
            </a:rPr>
            <a:t>Bem Vinda, Liane</a:t>
          </a:r>
        </a:p>
      </xdr:txBody>
    </xdr:sp>
    <xdr:clientData/>
  </xdr:oneCellAnchor>
  <xdr:twoCellAnchor>
    <xdr:from>
      <xdr:col>0</xdr:col>
      <xdr:colOff>161636</xdr:colOff>
      <xdr:row>15</xdr:row>
      <xdr:rowOff>50511</xdr:rowOff>
    </xdr:from>
    <xdr:to>
      <xdr:col>0</xdr:col>
      <xdr:colOff>1995713</xdr:colOff>
      <xdr:row>22</xdr:row>
      <xdr:rowOff>118341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E327870-4FFD-4E58-A7F3-707BC5FA2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636" y="3149311"/>
              <a:ext cx="1834077" cy="1401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oneCellAnchor>
    <xdr:from>
      <xdr:col>1</xdr:col>
      <xdr:colOff>190501</xdr:colOff>
      <xdr:row>44</xdr:row>
      <xdr:rowOff>165554</xdr:rowOff>
    </xdr:from>
    <xdr:ext cx="2043893" cy="38100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94DE580C-B610-4C8B-9FF5-A08FEFC0360B}"/>
            </a:ext>
          </a:extLst>
        </xdr:cNvPr>
        <xdr:cNvSpPr txBox="1"/>
      </xdr:nvSpPr>
      <xdr:spPr>
        <a:xfrm>
          <a:off x="2276930" y="8429625"/>
          <a:ext cx="2043893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800" b="0" baseline="0">
              <a:solidFill>
                <a:schemeClr val="bg1">
                  <a:lumMod val="50000"/>
                </a:schemeClr>
              </a:solidFill>
              <a:latin typeface="Amasis MT Pro" panose="02040504050005020304" pitchFamily="18" charset="0"/>
            </a:rPr>
            <a:t>Calculation Period: 01/01/2024 até 31/12/2024</a:t>
          </a:r>
        </a:p>
        <a:p>
          <a:r>
            <a:rPr lang="pt-BR" sz="800" b="0" baseline="0">
              <a:solidFill>
                <a:schemeClr val="bg1">
                  <a:lumMod val="50000"/>
                </a:schemeClr>
              </a:solidFill>
              <a:latin typeface="Amasis MT Pro" panose="02040504050005020304" pitchFamily="18" charset="0"/>
            </a:rPr>
            <a:t>Update date: 25/12/2024 ás 13:37</a:t>
          </a:r>
          <a:endParaRPr lang="pt-BR" sz="800" b="0">
            <a:solidFill>
              <a:schemeClr val="bg1">
                <a:lumMod val="50000"/>
              </a:schemeClr>
            </a:solidFill>
            <a:latin typeface="Amasis MT Pro" panose="02040504050005020304" pitchFamily="18" charset="0"/>
          </a:endParaRPr>
        </a:p>
      </xdr:txBody>
    </xdr:sp>
    <xdr:clientData/>
  </xdr:oneCellAnchor>
  <xdr:twoCellAnchor>
    <xdr:from>
      <xdr:col>11</xdr:col>
      <xdr:colOff>381000</xdr:colOff>
      <xdr:row>5</xdr:row>
      <xdr:rowOff>88035</xdr:rowOff>
    </xdr:from>
    <xdr:to>
      <xdr:col>29</xdr:col>
      <xdr:colOff>362239</xdr:colOff>
      <xdr:row>13</xdr:row>
      <xdr:rowOff>160606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1D3A5BE8-7051-E886-0EE7-E99D4E838441}"/>
            </a:ext>
          </a:extLst>
        </xdr:cNvPr>
        <xdr:cNvGrpSpPr/>
      </xdr:nvGrpSpPr>
      <xdr:grpSpPr>
        <a:xfrm>
          <a:off x="8204200" y="1116735"/>
          <a:ext cx="10801639" cy="1761671"/>
          <a:chOff x="2262908" y="1073729"/>
          <a:chExt cx="12180455" cy="1723571"/>
        </a:xfrm>
      </xdr:grpSpPr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C0659E98-D69E-49AA-8C42-41A45DC7A1F4}"/>
              </a:ext>
            </a:extLst>
          </xdr:cNvPr>
          <xdr:cNvGrpSpPr/>
        </xdr:nvGrpSpPr>
        <xdr:grpSpPr>
          <a:xfrm>
            <a:off x="2262908" y="1073729"/>
            <a:ext cx="12180455" cy="1723571"/>
            <a:chOff x="8418946" y="1011383"/>
            <a:chExt cx="5743206" cy="1708727"/>
          </a:xfrm>
        </xdr:grpSpPr>
        <xdr:sp macro="" textlink="">
          <xdr:nvSpPr>
            <xdr:cNvPr id="48" name="Retângulo: Cantos Arredondados 47">
              <a:extLst>
                <a:ext uri="{FF2B5EF4-FFF2-40B4-BE49-F238E27FC236}">
                  <a16:creationId xmlns:a16="http://schemas.microsoft.com/office/drawing/2014/main" id="{8D5A3AFF-7D3D-08F8-B0C7-DEC6F39400FD}"/>
                </a:ext>
              </a:extLst>
            </xdr:cNvPr>
            <xdr:cNvSpPr/>
          </xdr:nvSpPr>
          <xdr:spPr>
            <a:xfrm>
              <a:off x="8418946" y="1023034"/>
              <a:ext cx="5726455" cy="1697076"/>
            </a:xfrm>
            <a:prstGeom prst="roundRect">
              <a:avLst>
                <a:gd name="adj" fmla="val 5783"/>
              </a:avLst>
            </a:prstGeom>
            <a:ln>
              <a:solidFill>
                <a:schemeClr val="bg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0" name="Retângulo: Cantos Superiores Arredondados 49">
              <a:extLst>
                <a:ext uri="{FF2B5EF4-FFF2-40B4-BE49-F238E27FC236}">
                  <a16:creationId xmlns:a16="http://schemas.microsoft.com/office/drawing/2014/main" id="{D484127E-B222-BEA6-AE53-FB26DD096B66}"/>
                </a:ext>
              </a:extLst>
            </xdr:cNvPr>
            <xdr:cNvSpPr/>
          </xdr:nvSpPr>
          <xdr:spPr>
            <a:xfrm>
              <a:off x="8423095" y="1011383"/>
              <a:ext cx="5739057" cy="482738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 baseline="0"/>
                <a:t>SUBSCRIPTIONS GROWTH </a:t>
              </a:r>
            </a:p>
          </xdr:txBody>
        </xdr:sp>
      </xdr:grpSp>
      <xdr:graphicFrame macro="">
        <xdr:nvGraphicFramePr>
          <xdr:cNvPr id="46" name="Gráfico 45">
            <a:extLst>
              <a:ext uri="{FF2B5EF4-FFF2-40B4-BE49-F238E27FC236}">
                <a16:creationId xmlns:a16="http://schemas.microsoft.com/office/drawing/2014/main" id="{CF291DA1-0C6F-40EF-973B-3B4DAE3736D4}"/>
              </a:ext>
            </a:extLst>
          </xdr:cNvPr>
          <xdr:cNvGraphicFramePr>
            <a:graphicFrameLocks/>
          </xdr:cNvGraphicFramePr>
        </xdr:nvGraphicFramePr>
        <xdr:xfrm>
          <a:off x="2343727" y="1535546"/>
          <a:ext cx="11826802" cy="12238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0</xdr:col>
      <xdr:colOff>154999</xdr:colOff>
      <xdr:row>7</xdr:row>
      <xdr:rowOff>108238</xdr:rowOff>
    </xdr:from>
    <xdr:to>
      <xdr:col>0</xdr:col>
      <xdr:colOff>1987262</xdr:colOff>
      <xdr:row>14</xdr:row>
      <xdr:rowOff>118340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5" name="Plan">
              <a:extLst>
                <a:ext uri="{FF2B5EF4-FFF2-40B4-BE49-F238E27FC236}">
                  <a16:creationId xmlns:a16="http://schemas.microsoft.com/office/drawing/2014/main" id="{F1E40436-7702-4085-8012-19B5E6835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999" y="1683038"/>
              <a:ext cx="1832263" cy="1343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158749</xdr:colOff>
      <xdr:row>5</xdr:row>
      <xdr:rowOff>95250</xdr:rowOff>
    </xdr:from>
    <xdr:to>
      <xdr:col>11</xdr:col>
      <xdr:colOff>242454</xdr:colOff>
      <xdr:row>13</xdr:row>
      <xdr:rowOff>158750</xdr:rowOff>
    </xdr:to>
    <xdr:grpSp>
      <xdr:nvGrpSpPr>
        <xdr:cNvPr id="76" name="Agrupar 75">
          <a:extLst>
            <a:ext uri="{FF2B5EF4-FFF2-40B4-BE49-F238E27FC236}">
              <a16:creationId xmlns:a16="http://schemas.microsoft.com/office/drawing/2014/main" id="{90E4234A-3426-1C80-81C9-773BA210B49D}"/>
            </a:ext>
          </a:extLst>
        </xdr:cNvPr>
        <xdr:cNvGrpSpPr/>
      </xdr:nvGrpSpPr>
      <xdr:grpSpPr>
        <a:xfrm>
          <a:off x="2241549" y="1123950"/>
          <a:ext cx="5824105" cy="1752600"/>
          <a:chOff x="2381250" y="1095375"/>
          <a:chExt cx="4778375" cy="1773269"/>
        </a:xfrm>
      </xdr:grpSpPr>
      <xdr:sp macro="" textlink="">
        <xdr:nvSpPr>
          <xdr:cNvPr id="72" name="Retângulo: Cantos Arredondados 71">
            <a:extLst>
              <a:ext uri="{FF2B5EF4-FFF2-40B4-BE49-F238E27FC236}">
                <a16:creationId xmlns:a16="http://schemas.microsoft.com/office/drawing/2014/main" id="{E7BCFDD4-6554-1D9D-EAF9-0756407CCD03}"/>
              </a:ext>
            </a:extLst>
          </xdr:cNvPr>
          <xdr:cNvSpPr/>
        </xdr:nvSpPr>
        <xdr:spPr>
          <a:xfrm>
            <a:off x="2381250" y="1107467"/>
            <a:ext cx="4772844" cy="1761177"/>
          </a:xfrm>
          <a:prstGeom prst="roundRect">
            <a:avLst>
              <a:gd name="adj" fmla="val 5783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H1">
        <xdr:nvSpPr>
          <xdr:cNvPr id="73" name="Retângulo: Cantos Arredondados 72">
            <a:extLst>
              <a:ext uri="{FF2B5EF4-FFF2-40B4-BE49-F238E27FC236}">
                <a16:creationId xmlns:a16="http://schemas.microsoft.com/office/drawing/2014/main" id="{FAB0C7D8-700B-D595-B651-B419F242C7B1}"/>
              </a:ext>
            </a:extLst>
          </xdr:cNvPr>
          <xdr:cNvSpPr/>
        </xdr:nvSpPr>
        <xdr:spPr>
          <a:xfrm>
            <a:off x="4013991" y="1836628"/>
            <a:ext cx="2786897" cy="747387"/>
          </a:xfrm>
          <a:prstGeom prst="roundRect">
            <a:avLst>
              <a:gd name="adj" fmla="val 5783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19567E6B-C25A-486D-9240-FE57B2D2F9EB}" type="TxLink">
              <a:rPr lang="en-US" sz="4800" b="0" i="0" u="none" strike="noStrike">
                <a:solidFill>
                  <a:srgbClr val="2AE6B1"/>
                </a:solidFill>
                <a:latin typeface="Aptos Narrow"/>
              </a:rPr>
              <a:t> R$ 7.633,00 </a:t>
            </a:fld>
            <a:endParaRPr lang="pt-BR" sz="4800">
              <a:solidFill>
                <a:srgbClr val="2AE6B1"/>
              </a:solidFill>
            </a:endParaRPr>
          </a:p>
        </xdr:txBody>
      </xdr:sp>
      <xdr:sp macro="" textlink="">
        <xdr:nvSpPr>
          <xdr:cNvPr id="75" name="Retângulo: Cantos Superiores Arredondados 74">
            <a:extLst>
              <a:ext uri="{FF2B5EF4-FFF2-40B4-BE49-F238E27FC236}">
                <a16:creationId xmlns:a16="http://schemas.microsoft.com/office/drawing/2014/main" id="{4491D925-C99A-B055-E2A4-D366BA2444BF}"/>
              </a:ext>
            </a:extLst>
          </xdr:cNvPr>
          <xdr:cNvSpPr/>
        </xdr:nvSpPr>
        <xdr:spPr>
          <a:xfrm>
            <a:off x="2384707" y="1095375"/>
            <a:ext cx="4774918" cy="50097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XBOX</a:t>
            </a:r>
            <a:r>
              <a:rPr lang="pt-BR" sz="1400" b="1" baseline="0"/>
              <a:t> REVENUE</a:t>
            </a:r>
            <a:endParaRPr lang="pt-BR" sz="1400" b="1"/>
          </a:p>
        </xdr:txBody>
      </xdr:sp>
    </xdr:grpSp>
    <xdr:clientData/>
  </xdr:twoCellAnchor>
  <xdr:twoCellAnchor>
    <xdr:from>
      <xdr:col>21</xdr:col>
      <xdr:colOff>311150</xdr:colOff>
      <xdr:row>14</xdr:row>
      <xdr:rowOff>126999</xdr:rowOff>
    </xdr:from>
    <xdr:to>
      <xdr:col>29</xdr:col>
      <xdr:colOff>342900</xdr:colOff>
      <xdr:row>44</xdr:row>
      <xdr:rowOff>95249</xdr:rowOff>
    </xdr:to>
    <xdr:grpSp>
      <xdr:nvGrpSpPr>
        <xdr:cNvPr id="82" name="Agrupar 81">
          <a:extLst>
            <a:ext uri="{FF2B5EF4-FFF2-40B4-BE49-F238E27FC236}">
              <a16:creationId xmlns:a16="http://schemas.microsoft.com/office/drawing/2014/main" id="{6E664DE8-705B-21CB-585F-3C0E8211B9A1}"/>
            </a:ext>
          </a:extLst>
        </xdr:cNvPr>
        <xdr:cNvGrpSpPr/>
      </xdr:nvGrpSpPr>
      <xdr:grpSpPr>
        <a:xfrm>
          <a:off x="14077950" y="3035299"/>
          <a:ext cx="4908550" cy="5683250"/>
          <a:chOff x="2247900" y="2987439"/>
          <a:chExt cx="4857750" cy="3092685"/>
        </a:xfrm>
      </xdr:grpSpPr>
      <xdr:sp macro="" textlink="">
        <xdr:nvSpPr>
          <xdr:cNvPr id="79" name="Retângulo: Cantos Arredondados 78">
            <a:extLst>
              <a:ext uri="{FF2B5EF4-FFF2-40B4-BE49-F238E27FC236}">
                <a16:creationId xmlns:a16="http://schemas.microsoft.com/office/drawing/2014/main" id="{B568E647-6DDC-F57A-8966-BFF98559B531}"/>
              </a:ext>
            </a:extLst>
          </xdr:cNvPr>
          <xdr:cNvSpPr/>
        </xdr:nvSpPr>
        <xdr:spPr>
          <a:xfrm>
            <a:off x="2247900" y="3021807"/>
            <a:ext cx="4852127" cy="3058317"/>
          </a:xfrm>
          <a:prstGeom prst="roundRect">
            <a:avLst>
              <a:gd name="adj" fmla="val 5783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1" name="Retângulo: Cantos Superiores Arredondados 80">
            <a:extLst>
              <a:ext uri="{FF2B5EF4-FFF2-40B4-BE49-F238E27FC236}">
                <a16:creationId xmlns:a16="http://schemas.microsoft.com/office/drawing/2014/main" id="{4910E651-0E7B-6A2B-895D-B90CB1E3390C}"/>
              </a:ext>
            </a:extLst>
          </xdr:cNvPr>
          <xdr:cNvSpPr/>
        </xdr:nvSpPr>
        <xdr:spPr>
          <a:xfrm>
            <a:off x="2251414" y="2987439"/>
            <a:ext cx="4854236" cy="31099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BYLIING PER PLAN</a:t>
            </a:r>
            <a:endParaRPr lang="pt-BR" sz="1400" b="1"/>
          </a:p>
        </xdr:txBody>
      </xdr:sp>
      <xdr:graphicFrame macro="">
        <xdr:nvGraphicFramePr>
          <xdr:cNvPr id="77" name="Gráfico 76">
            <a:extLst>
              <a:ext uri="{FF2B5EF4-FFF2-40B4-BE49-F238E27FC236}">
                <a16:creationId xmlns:a16="http://schemas.microsoft.com/office/drawing/2014/main" id="{8A898FEF-3C82-4318-94BF-366B12397FF9}"/>
              </a:ext>
            </a:extLst>
          </xdr:cNvPr>
          <xdr:cNvGraphicFramePr>
            <a:graphicFrameLocks/>
          </xdr:cNvGraphicFramePr>
        </xdr:nvGraphicFramePr>
        <xdr:xfrm>
          <a:off x="2428874" y="3367546"/>
          <a:ext cx="4397375" cy="24744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 editAs="oneCell">
    <xdr:from>
      <xdr:col>2</xdr:col>
      <xdr:colOff>242453</xdr:colOff>
      <xdr:row>8</xdr:row>
      <xdr:rowOff>161635</xdr:rowOff>
    </xdr:from>
    <xdr:to>
      <xdr:col>4</xdr:col>
      <xdr:colOff>427181</xdr:colOff>
      <xdr:row>12</xdr:row>
      <xdr:rowOff>13953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BF9190F3-EC4A-4504-B3A6-9EDA71B37B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34128" t="4655"/>
        <a:stretch>
          <a:fillRect/>
        </a:stretch>
      </xdr:blipFill>
      <xdr:spPr>
        <a:xfrm>
          <a:off x="2563089" y="1893453"/>
          <a:ext cx="1408547" cy="59122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ayara Regina Faustino" id="{069E1C1A-C0A6-49A4-B372-7224D351503F}" userId="ab60517cee4a74f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ayara" refreshedDate="46041.645520949074" createdVersion="8" refreshedVersion="8" minRefreshableVersion="3" recordCount="295" xr:uid="{B5E30680-4D6D-4453-9F93-6E46DE1F17A9}">
  <cacheSource type="worksheet">
    <worksheetSource name="Tabela13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957088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x v="0"/>
    <x v="0"/>
    <x v="0"/>
    <x v="0"/>
    <x v="0"/>
    <x v="0"/>
    <x v="0"/>
    <n v="20"/>
    <n v="5"/>
    <n v="60"/>
  </r>
  <r>
    <x v="1"/>
    <x v="1"/>
    <x v="1"/>
    <x v="1"/>
    <x v="1"/>
    <x v="1"/>
    <x v="1"/>
    <x v="1"/>
    <x v="1"/>
    <x v="1"/>
    <n v="0"/>
    <n v="0"/>
    <n v="5"/>
  </r>
  <r>
    <x v="2"/>
    <x v="2"/>
    <x v="2"/>
    <x v="2"/>
    <x v="0"/>
    <x v="2"/>
    <x v="2"/>
    <x v="1"/>
    <x v="1"/>
    <x v="0"/>
    <n v="20"/>
    <n v="10"/>
    <n v="20"/>
  </r>
  <r>
    <x v="3"/>
    <x v="3"/>
    <x v="0"/>
    <x v="3"/>
    <x v="1"/>
    <x v="0"/>
    <x v="0"/>
    <x v="0"/>
    <x v="0"/>
    <x v="0"/>
    <n v="20"/>
    <n v="3"/>
    <n v="62"/>
  </r>
  <r>
    <x v="4"/>
    <x v="4"/>
    <x v="1"/>
    <x v="4"/>
    <x v="0"/>
    <x v="1"/>
    <x v="0"/>
    <x v="1"/>
    <x v="1"/>
    <x v="1"/>
    <n v="0"/>
    <n v="1"/>
    <n v="4"/>
  </r>
  <r>
    <x v="5"/>
    <x v="5"/>
    <x v="2"/>
    <x v="5"/>
    <x v="1"/>
    <x v="2"/>
    <x v="0"/>
    <x v="1"/>
    <x v="1"/>
    <x v="0"/>
    <n v="20"/>
    <n v="2"/>
    <n v="28"/>
  </r>
  <r>
    <x v="6"/>
    <x v="6"/>
    <x v="0"/>
    <x v="6"/>
    <x v="0"/>
    <x v="0"/>
    <x v="2"/>
    <x v="0"/>
    <x v="0"/>
    <x v="0"/>
    <n v="20"/>
    <n v="10"/>
    <n v="55"/>
  </r>
  <r>
    <x v="7"/>
    <x v="7"/>
    <x v="1"/>
    <x v="7"/>
    <x v="0"/>
    <x v="1"/>
    <x v="1"/>
    <x v="1"/>
    <x v="1"/>
    <x v="1"/>
    <n v="0"/>
    <n v="0"/>
    <n v="5"/>
  </r>
  <r>
    <x v="8"/>
    <x v="8"/>
    <x v="0"/>
    <x v="4"/>
    <x v="1"/>
    <x v="0"/>
    <x v="0"/>
    <x v="0"/>
    <x v="0"/>
    <x v="0"/>
    <n v="20"/>
    <n v="5"/>
    <n v="60"/>
  </r>
  <r>
    <x v="9"/>
    <x v="9"/>
    <x v="2"/>
    <x v="8"/>
    <x v="0"/>
    <x v="2"/>
    <x v="2"/>
    <x v="1"/>
    <x v="1"/>
    <x v="0"/>
    <n v="20"/>
    <n v="15"/>
    <n v="15"/>
  </r>
  <r>
    <x v="10"/>
    <x v="10"/>
    <x v="1"/>
    <x v="9"/>
    <x v="1"/>
    <x v="1"/>
    <x v="0"/>
    <x v="1"/>
    <x v="1"/>
    <x v="1"/>
    <n v="0"/>
    <n v="1"/>
    <n v="4"/>
  </r>
  <r>
    <x v="11"/>
    <x v="11"/>
    <x v="0"/>
    <x v="10"/>
    <x v="0"/>
    <x v="0"/>
    <x v="1"/>
    <x v="0"/>
    <x v="0"/>
    <x v="0"/>
    <n v="20"/>
    <n v="20"/>
    <n v="45"/>
  </r>
  <r>
    <x v="12"/>
    <x v="12"/>
    <x v="2"/>
    <x v="11"/>
    <x v="1"/>
    <x v="2"/>
    <x v="0"/>
    <x v="1"/>
    <x v="1"/>
    <x v="0"/>
    <n v="20"/>
    <n v="10"/>
    <n v="20"/>
  </r>
  <r>
    <x v="13"/>
    <x v="13"/>
    <x v="1"/>
    <x v="12"/>
    <x v="0"/>
    <x v="1"/>
    <x v="2"/>
    <x v="1"/>
    <x v="1"/>
    <x v="1"/>
    <n v="0"/>
    <n v="0"/>
    <n v="5"/>
  </r>
  <r>
    <x v="14"/>
    <x v="14"/>
    <x v="0"/>
    <x v="13"/>
    <x v="1"/>
    <x v="0"/>
    <x v="0"/>
    <x v="0"/>
    <x v="0"/>
    <x v="0"/>
    <n v="20"/>
    <n v="8"/>
    <n v="57"/>
  </r>
  <r>
    <x v="15"/>
    <x v="15"/>
    <x v="2"/>
    <x v="14"/>
    <x v="0"/>
    <x v="2"/>
    <x v="1"/>
    <x v="1"/>
    <x v="1"/>
    <x v="0"/>
    <n v="20"/>
    <n v="12"/>
    <n v="18"/>
  </r>
  <r>
    <x v="16"/>
    <x v="16"/>
    <x v="1"/>
    <x v="15"/>
    <x v="1"/>
    <x v="1"/>
    <x v="0"/>
    <x v="1"/>
    <x v="1"/>
    <x v="1"/>
    <n v="0"/>
    <n v="2"/>
    <n v="3"/>
  </r>
  <r>
    <x v="17"/>
    <x v="17"/>
    <x v="0"/>
    <x v="16"/>
    <x v="0"/>
    <x v="0"/>
    <x v="2"/>
    <x v="0"/>
    <x v="0"/>
    <x v="0"/>
    <n v="20"/>
    <n v="7"/>
    <n v="58"/>
  </r>
  <r>
    <x v="18"/>
    <x v="18"/>
    <x v="2"/>
    <x v="17"/>
    <x v="1"/>
    <x v="2"/>
    <x v="0"/>
    <x v="1"/>
    <x v="1"/>
    <x v="0"/>
    <n v="20"/>
    <n v="5"/>
    <n v="25"/>
  </r>
  <r>
    <x v="19"/>
    <x v="19"/>
    <x v="1"/>
    <x v="18"/>
    <x v="0"/>
    <x v="1"/>
    <x v="1"/>
    <x v="1"/>
    <x v="1"/>
    <x v="1"/>
    <n v="0"/>
    <n v="0"/>
    <n v="5"/>
  </r>
  <r>
    <x v="20"/>
    <x v="20"/>
    <x v="0"/>
    <x v="19"/>
    <x v="1"/>
    <x v="0"/>
    <x v="0"/>
    <x v="0"/>
    <x v="0"/>
    <x v="0"/>
    <n v="20"/>
    <n v="3"/>
    <n v="62"/>
  </r>
  <r>
    <x v="21"/>
    <x v="21"/>
    <x v="2"/>
    <x v="20"/>
    <x v="0"/>
    <x v="2"/>
    <x v="2"/>
    <x v="1"/>
    <x v="1"/>
    <x v="0"/>
    <n v="20"/>
    <n v="15"/>
    <n v="15"/>
  </r>
  <r>
    <x v="22"/>
    <x v="22"/>
    <x v="1"/>
    <x v="21"/>
    <x v="1"/>
    <x v="1"/>
    <x v="0"/>
    <x v="1"/>
    <x v="1"/>
    <x v="1"/>
    <n v="0"/>
    <n v="1"/>
    <n v="4"/>
  </r>
  <r>
    <x v="23"/>
    <x v="23"/>
    <x v="0"/>
    <x v="22"/>
    <x v="0"/>
    <x v="0"/>
    <x v="1"/>
    <x v="0"/>
    <x v="0"/>
    <x v="0"/>
    <n v="20"/>
    <n v="20"/>
    <n v="45"/>
  </r>
  <r>
    <x v="24"/>
    <x v="24"/>
    <x v="2"/>
    <x v="23"/>
    <x v="1"/>
    <x v="2"/>
    <x v="0"/>
    <x v="1"/>
    <x v="1"/>
    <x v="0"/>
    <n v="20"/>
    <n v="10"/>
    <n v="20"/>
  </r>
  <r>
    <x v="25"/>
    <x v="25"/>
    <x v="1"/>
    <x v="24"/>
    <x v="0"/>
    <x v="1"/>
    <x v="2"/>
    <x v="1"/>
    <x v="1"/>
    <x v="1"/>
    <n v="0"/>
    <n v="0"/>
    <n v="5"/>
  </r>
  <r>
    <x v="26"/>
    <x v="26"/>
    <x v="0"/>
    <x v="25"/>
    <x v="1"/>
    <x v="0"/>
    <x v="0"/>
    <x v="0"/>
    <x v="0"/>
    <x v="0"/>
    <n v="20"/>
    <n v="5"/>
    <n v="60"/>
  </r>
  <r>
    <x v="27"/>
    <x v="27"/>
    <x v="2"/>
    <x v="26"/>
    <x v="0"/>
    <x v="2"/>
    <x v="1"/>
    <x v="1"/>
    <x v="1"/>
    <x v="0"/>
    <n v="20"/>
    <n v="15"/>
    <n v="15"/>
  </r>
  <r>
    <x v="28"/>
    <x v="28"/>
    <x v="1"/>
    <x v="27"/>
    <x v="1"/>
    <x v="1"/>
    <x v="0"/>
    <x v="1"/>
    <x v="1"/>
    <x v="1"/>
    <n v="0"/>
    <n v="1"/>
    <n v="4"/>
  </r>
  <r>
    <x v="29"/>
    <x v="29"/>
    <x v="0"/>
    <x v="28"/>
    <x v="0"/>
    <x v="0"/>
    <x v="2"/>
    <x v="0"/>
    <x v="0"/>
    <x v="0"/>
    <n v="20"/>
    <n v="7"/>
    <n v="58"/>
  </r>
  <r>
    <x v="30"/>
    <x v="30"/>
    <x v="2"/>
    <x v="29"/>
    <x v="1"/>
    <x v="2"/>
    <x v="0"/>
    <x v="1"/>
    <x v="1"/>
    <x v="0"/>
    <n v="20"/>
    <n v="10"/>
    <n v="20"/>
  </r>
  <r>
    <x v="31"/>
    <x v="31"/>
    <x v="1"/>
    <x v="30"/>
    <x v="0"/>
    <x v="1"/>
    <x v="1"/>
    <x v="1"/>
    <x v="1"/>
    <x v="1"/>
    <n v="0"/>
    <n v="0"/>
    <n v="5"/>
  </r>
  <r>
    <x v="32"/>
    <x v="32"/>
    <x v="0"/>
    <x v="31"/>
    <x v="1"/>
    <x v="0"/>
    <x v="0"/>
    <x v="0"/>
    <x v="0"/>
    <x v="0"/>
    <n v="20"/>
    <n v="3"/>
    <n v="62"/>
  </r>
  <r>
    <x v="33"/>
    <x v="33"/>
    <x v="2"/>
    <x v="32"/>
    <x v="0"/>
    <x v="2"/>
    <x v="2"/>
    <x v="1"/>
    <x v="1"/>
    <x v="0"/>
    <n v="20"/>
    <n v="15"/>
    <n v="15"/>
  </r>
  <r>
    <x v="34"/>
    <x v="34"/>
    <x v="1"/>
    <x v="33"/>
    <x v="1"/>
    <x v="1"/>
    <x v="0"/>
    <x v="1"/>
    <x v="1"/>
    <x v="1"/>
    <n v="0"/>
    <n v="1"/>
    <n v="4"/>
  </r>
  <r>
    <x v="35"/>
    <x v="35"/>
    <x v="1"/>
    <x v="34"/>
    <x v="0"/>
    <x v="1"/>
    <x v="0"/>
    <x v="1"/>
    <x v="1"/>
    <x v="1"/>
    <n v="0"/>
    <n v="0"/>
    <n v="5"/>
  </r>
  <r>
    <x v="36"/>
    <x v="36"/>
    <x v="0"/>
    <x v="35"/>
    <x v="1"/>
    <x v="0"/>
    <x v="2"/>
    <x v="0"/>
    <x v="0"/>
    <x v="0"/>
    <n v="20"/>
    <n v="7"/>
    <n v="58"/>
  </r>
  <r>
    <x v="37"/>
    <x v="37"/>
    <x v="2"/>
    <x v="36"/>
    <x v="0"/>
    <x v="2"/>
    <x v="1"/>
    <x v="1"/>
    <x v="1"/>
    <x v="0"/>
    <n v="20"/>
    <n v="10"/>
    <n v="20"/>
  </r>
  <r>
    <x v="38"/>
    <x v="38"/>
    <x v="1"/>
    <x v="37"/>
    <x v="1"/>
    <x v="1"/>
    <x v="2"/>
    <x v="1"/>
    <x v="1"/>
    <x v="1"/>
    <n v="0"/>
    <n v="1"/>
    <n v="4"/>
  </r>
  <r>
    <x v="39"/>
    <x v="39"/>
    <x v="0"/>
    <x v="38"/>
    <x v="0"/>
    <x v="0"/>
    <x v="0"/>
    <x v="0"/>
    <x v="0"/>
    <x v="0"/>
    <n v="20"/>
    <n v="15"/>
    <n v="50"/>
  </r>
  <r>
    <x v="40"/>
    <x v="40"/>
    <x v="2"/>
    <x v="39"/>
    <x v="1"/>
    <x v="2"/>
    <x v="0"/>
    <x v="1"/>
    <x v="1"/>
    <x v="0"/>
    <n v="20"/>
    <n v="5"/>
    <n v="25"/>
  </r>
  <r>
    <x v="41"/>
    <x v="41"/>
    <x v="1"/>
    <x v="40"/>
    <x v="0"/>
    <x v="1"/>
    <x v="1"/>
    <x v="1"/>
    <x v="1"/>
    <x v="1"/>
    <n v="0"/>
    <n v="0"/>
    <n v="5"/>
  </r>
  <r>
    <x v="42"/>
    <x v="42"/>
    <x v="0"/>
    <x v="41"/>
    <x v="1"/>
    <x v="0"/>
    <x v="2"/>
    <x v="0"/>
    <x v="0"/>
    <x v="0"/>
    <n v="20"/>
    <n v="20"/>
    <n v="45"/>
  </r>
  <r>
    <x v="43"/>
    <x v="43"/>
    <x v="2"/>
    <x v="42"/>
    <x v="0"/>
    <x v="2"/>
    <x v="2"/>
    <x v="1"/>
    <x v="1"/>
    <x v="0"/>
    <n v="20"/>
    <n v="12"/>
    <n v="18"/>
  </r>
  <r>
    <x v="44"/>
    <x v="44"/>
    <x v="1"/>
    <x v="43"/>
    <x v="1"/>
    <x v="1"/>
    <x v="0"/>
    <x v="1"/>
    <x v="1"/>
    <x v="1"/>
    <n v="0"/>
    <n v="2"/>
    <n v="3"/>
  </r>
  <r>
    <x v="45"/>
    <x v="45"/>
    <x v="0"/>
    <x v="44"/>
    <x v="0"/>
    <x v="0"/>
    <x v="1"/>
    <x v="0"/>
    <x v="0"/>
    <x v="0"/>
    <n v="20"/>
    <n v="5"/>
    <n v="60"/>
  </r>
  <r>
    <x v="46"/>
    <x v="46"/>
    <x v="2"/>
    <x v="45"/>
    <x v="1"/>
    <x v="2"/>
    <x v="0"/>
    <x v="1"/>
    <x v="1"/>
    <x v="0"/>
    <n v="20"/>
    <n v="10"/>
    <n v="20"/>
  </r>
  <r>
    <x v="47"/>
    <x v="47"/>
    <x v="1"/>
    <x v="46"/>
    <x v="0"/>
    <x v="1"/>
    <x v="2"/>
    <x v="1"/>
    <x v="1"/>
    <x v="1"/>
    <n v="0"/>
    <n v="0"/>
    <n v="5"/>
  </r>
  <r>
    <x v="48"/>
    <x v="48"/>
    <x v="0"/>
    <x v="47"/>
    <x v="1"/>
    <x v="0"/>
    <x v="0"/>
    <x v="0"/>
    <x v="0"/>
    <x v="0"/>
    <n v="20"/>
    <n v="3"/>
    <n v="62"/>
  </r>
  <r>
    <x v="49"/>
    <x v="49"/>
    <x v="2"/>
    <x v="48"/>
    <x v="0"/>
    <x v="2"/>
    <x v="1"/>
    <x v="1"/>
    <x v="1"/>
    <x v="0"/>
    <n v="20"/>
    <n v="15"/>
    <n v="15"/>
  </r>
  <r>
    <x v="50"/>
    <x v="50"/>
    <x v="1"/>
    <x v="49"/>
    <x v="1"/>
    <x v="1"/>
    <x v="0"/>
    <x v="1"/>
    <x v="1"/>
    <x v="1"/>
    <n v="0"/>
    <n v="1"/>
    <n v="4"/>
  </r>
  <r>
    <x v="51"/>
    <x v="51"/>
    <x v="0"/>
    <x v="50"/>
    <x v="0"/>
    <x v="0"/>
    <x v="2"/>
    <x v="0"/>
    <x v="0"/>
    <x v="0"/>
    <n v="20"/>
    <n v="7"/>
    <n v="58"/>
  </r>
  <r>
    <x v="52"/>
    <x v="52"/>
    <x v="2"/>
    <x v="51"/>
    <x v="1"/>
    <x v="2"/>
    <x v="0"/>
    <x v="1"/>
    <x v="1"/>
    <x v="0"/>
    <n v="20"/>
    <n v="10"/>
    <n v="20"/>
  </r>
  <r>
    <x v="53"/>
    <x v="53"/>
    <x v="1"/>
    <x v="52"/>
    <x v="0"/>
    <x v="1"/>
    <x v="1"/>
    <x v="1"/>
    <x v="1"/>
    <x v="1"/>
    <n v="0"/>
    <n v="0"/>
    <n v="5"/>
  </r>
  <r>
    <x v="54"/>
    <x v="54"/>
    <x v="0"/>
    <x v="53"/>
    <x v="1"/>
    <x v="0"/>
    <x v="0"/>
    <x v="0"/>
    <x v="0"/>
    <x v="0"/>
    <n v="20"/>
    <n v="20"/>
    <n v="45"/>
  </r>
  <r>
    <x v="55"/>
    <x v="55"/>
    <x v="2"/>
    <x v="54"/>
    <x v="0"/>
    <x v="2"/>
    <x v="2"/>
    <x v="1"/>
    <x v="1"/>
    <x v="0"/>
    <n v="20"/>
    <n v="15"/>
    <n v="15"/>
  </r>
  <r>
    <x v="56"/>
    <x v="56"/>
    <x v="1"/>
    <x v="55"/>
    <x v="1"/>
    <x v="1"/>
    <x v="0"/>
    <x v="1"/>
    <x v="1"/>
    <x v="1"/>
    <n v="0"/>
    <n v="1"/>
    <n v="4"/>
  </r>
  <r>
    <x v="57"/>
    <x v="57"/>
    <x v="0"/>
    <x v="56"/>
    <x v="0"/>
    <x v="0"/>
    <x v="1"/>
    <x v="0"/>
    <x v="0"/>
    <x v="0"/>
    <n v="20"/>
    <n v="3"/>
    <n v="62"/>
  </r>
  <r>
    <x v="58"/>
    <x v="58"/>
    <x v="2"/>
    <x v="57"/>
    <x v="1"/>
    <x v="2"/>
    <x v="0"/>
    <x v="1"/>
    <x v="1"/>
    <x v="0"/>
    <n v="20"/>
    <n v="10"/>
    <n v="20"/>
  </r>
  <r>
    <x v="59"/>
    <x v="59"/>
    <x v="1"/>
    <x v="58"/>
    <x v="0"/>
    <x v="1"/>
    <x v="2"/>
    <x v="1"/>
    <x v="1"/>
    <x v="1"/>
    <n v="0"/>
    <n v="0"/>
    <n v="5"/>
  </r>
  <r>
    <x v="60"/>
    <x v="60"/>
    <x v="0"/>
    <x v="59"/>
    <x v="1"/>
    <x v="0"/>
    <x v="0"/>
    <x v="0"/>
    <x v="0"/>
    <x v="0"/>
    <n v="20"/>
    <n v="5"/>
    <n v="60"/>
  </r>
  <r>
    <x v="61"/>
    <x v="61"/>
    <x v="2"/>
    <x v="60"/>
    <x v="0"/>
    <x v="2"/>
    <x v="1"/>
    <x v="1"/>
    <x v="1"/>
    <x v="0"/>
    <n v="20"/>
    <n v="15"/>
    <n v="15"/>
  </r>
  <r>
    <x v="62"/>
    <x v="62"/>
    <x v="1"/>
    <x v="61"/>
    <x v="1"/>
    <x v="1"/>
    <x v="0"/>
    <x v="1"/>
    <x v="1"/>
    <x v="1"/>
    <n v="0"/>
    <n v="1"/>
    <n v="4"/>
  </r>
  <r>
    <x v="63"/>
    <x v="63"/>
    <x v="0"/>
    <x v="62"/>
    <x v="0"/>
    <x v="0"/>
    <x v="2"/>
    <x v="0"/>
    <x v="0"/>
    <x v="0"/>
    <n v="20"/>
    <n v="20"/>
    <n v="45"/>
  </r>
  <r>
    <x v="64"/>
    <x v="64"/>
    <x v="2"/>
    <x v="63"/>
    <x v="1"/>
    <x v="2"/>
    <x v="0"/>
    <x v="1"/>
    <x v="1"/>
    <x v="0"/>
    <n v="20"/>
    <n v="5"/>
    <n v="25"/>
  </r>
  <r>
    <x v="65"/>
    <x v="65"/>
    <x v="1"/>
    <x v="64"/>
    <x v="1"/>
    <x v="1"/>
    <x v="0"/>
    <x v="1"/>
    <x v="1"/>
    <x v="1"/>
    <n v="0"/>
    <n v="0"/>
    <n v="5"/>
  </r>
  <r>
    <x v="66"/>
    <x v="66"/>
    <x v="0"/>
    <x v="65"/>
    <x v="0"/>
    <x v="0"/>
    <x v="2"/>
    <x v="0"/>
    <x v="0"/>
    <x v="0"/>
    <n v="20"/>
    <n v="7"/>
    <n v="58"/>
  </r>
  <r>
    <x v="67"/>
    <x v="67"/>
    <x v="2"/>
    <x v="66"/>
    <x v="1"/>
    <x v="2"/>
    <x v="1"/>
    <x v="1"/>
    <x v="1"/>
    <x v="0"/>
    <n v="20"/>
    <n v="10"/>
    <n v="20"/>
  </r>
  <r>
    <x v="68"/>
    <x v="68"/>
    <x v="1"/>
    <x v="67"/>
    <x v="0"/>
    <x v="1"/>
    <x v="2"/>
    <x v="1"/>
    <x v="1"/>
    <x v="1"/>
    <n v="0"/>
    <n v="1"/>
    <n v="4"/>
  </r>
  <r>
    <x v="69"/>
    <x v="69"/>
    <x v="0"/>
    <x v="68"/>
    <x v="1"/>
    <x v="0"/>
    <x v="0"/>
    <x v="0"/>
    <x v="0"/>
    <x v="0"/>
    <n v="20"/>
    <n v="15"/>
    <n v="50"/>
  </r>
  <r>
    <x v="70"/>
    <x v="70"/>
    <x v="2"/>
    <x v="69"/>
    <x v="0"/>
    <x v="2"/>
    <x v="0"/>
    <x v="1"/>
    <x v="1"/>
    <x v="0"/>
    <n v="20"/>
    <n v="5"/>
    <n v="25"/>
  </r>
  <r>
    <x v="71"/>
    <x v="71"/>
    <x v="1"/>
    <x v="70"/>
    <x v="1"/>
    <x v="1"/>
    <x v="1"/>
    <x v="1"/>
    <x v="1"/>
    <x v="1"/>
    <n v="0"/>
    <n v="0"/>
    <n v="5"/>
  </r>
  <r>
    <x v="72"/>
    <x v="72"/>
    <x v="0"/>
    <x v="71"/>
    <x v="0"/>
    <x v="0"/>
    <x v="2"/>
    <x v="0"/>
    <x v="0"/>
    <x v="0"/>
    <n v="20"/>
    <n v="20"/>
    <n v="45"/>
  </r>
  <r>
    <x v="73"/>
    <x v="73"/>
    <x v="2"/>
    <x v="72"/>
    <x v="1"/>
    <x v="2"/>
    <x v="2"/>
    <x v="1"/>
    <x v="1"/>
    <x v="0"/>
    <n v="20"/>
    <n v="12"/>
    <n v="18"/>
  </r>
  <r>
    <x v="74"/>
    <x v="74"/>
    <x v="1"/>
    <x v="73"/>
    <x v="0"/>
    <x v="1"/>
    <x v="0"/>
    <x v="1"/>
    <x v="1"/>
    <x v="1"/>
    <n v="0"/>
    <n v="2"/>
    <n v="3"/>
  </r>
  <r>
    <x v="75"/>
    <x v="75"/>
    <x v="0"/>
    <x v="74"/>
    <x v="1"/>
    <x v="0"/>
    <x v="1"/>
    <x v="0"/>
    <x v="0"/>
    <x v="0"/>
    <n v="20"/>
    <n v="5"/>
    <n v="60"/>
  </r>
  <r>
    <x v="76"/>
    <x v="76"/>
    <x v="2"/>
    <x v="75"/>
    <x v="0"/>
    <x v="2"/>
    <x v="0"/>
    <x v="1"/>
    <x v="1"/>
    <x v="0"/>
    <n v="20"/>
    <n v="10"/>
    <n v="20"/>
  </r>
  <r>
    <x v="77"/>
    <x v="77"/>
    <x v="1"/>
    <x v="76"/>
    <x v="1"/>
    <x v="1"/>
    <x v="2"/>
    <x v="1"/>
    <x v="1"/>
    <x v="1"/>
    <n v="0"/>
    <n v="0"/>
    <n v="5"/>
  </r>
  <r>
    <x v="78"/>
    <x v="78"/>
    <x v="0"/>
    <x v="77"/>
    <x v="0"/>
    <x v="0"/>
    <x v="0"/>
    <x v="0"/>
    <x v="0"/>
    <x v="0"/>
    <n v="20"/>
    <n v="3"/>
    <n v="62"/>
  </r>
  <r>
    <x v="79"/>
    <x v="79"/>
    <x v="2"/>
    <x v="78"/>
    <x v="1"/>
    <x v="2"/>
    <x v="1"/>
    <x v="1"/>
    <x v="1"/>
    <x v="0"/>
    <n v="20"/>
    <n v="15"/>
    <n v="15"/>
  </r>
  <r>
    <x v="80"/>
    <x v="80"/>
    <x v="1"/>
    <x v="79"/>
    <x v="0"/>
    <x v="1"/>
    <x v="0"/>
    <x v="1"/>
    <x v="1"/>
    <x v="1"/>
    <n v="0"/>
    <n v="1"/>
    <n v="4"/>
  </r>
  <r>
    <x v="81"/>
    <x v="81"/>
    <x v="0"/>
    <x v="80"/>
    <x v="1"/>
    <x v="0"/>
    <x v="2"/>
    <x v="0"/>
    <x v="0"/>
    <x v="0"/>
    <n v="20"/>
    <n v="7"/>
    <n v="58"/>
  </r>
  <r>
    <x v="82"/>
    <x v="82"/>
    <x v="2"/>
    <x v="81"/>
    <x v="0"/>
    <x v="2"/>
    <x v="0"/>
    <x v="1"/>
    <x v="1"/>
    <x v="0"/>
    <n v="20"/>
    <n v="10"/>
    <n v="20"/>
  </r>
  <r>
    <x v="83"/>
    <x v="83"/>
    <x v="1"/>
    <x v="82"/>
    <x v="1"/>
    <x v="1"/>
    <x v="1"/>
    <x v="1"/>
    <x v="1"/>
    <x v="1"/>
    <n v="0"/>
    <n v="0"/>
    <n v="5"/>
  </r>
  <r>
    <x v="84"/>
    <x v="84"/>
    <x v="0"/>
    <x v="83"/>
    <x v="0"/>
    <x v="0"/>
    <x v="0"/>
    <x v="0"/>
    <x v="0"/>
    <x v="0"/>
    <n v="20"/>
    <n v="20"/>
    <n v="45"/>
  </r>
  <r>
    <x v="85"/>
    <x v="85"/>
    <x v="2"/>
    <x v="84"/>
    <x v="1"/>
    <x v="2"/>
    <x v="2"/>
    <x v="1"/>
    <x v="1"/>
    <x v="0"/>
    <n v="20"/>
    <n v="15"/>
    <n v="15"/>
  </r>
  <r>
    <x v="86"/>
    <x v="86"/>
    <x v="1"/>
    <x v="85"/>
    <x v="0"/>
    <x v="1"/>
    <x v="0"/>
    <x v="1"/>
    <x v="1"/>
    <x v="1"/>
    <n v="0"/>
    <n v="1"/>
    <n v="4"/>
  </r>
  <r>
    <x v="87"/>
    <x v="87"/>
    <x v="0"/>
    <x v="86"/>
    <x v="1"/>
    <x v="0"/>
    <x v="1"/>
    <x v="0"/>
    <x v="0"/>
    <x v="0"/>
    <n v="20"/>
    <n v="3"/>
    <n v="62"/>
  </r>
  <r>
    <x v="88"/>
    <x v="88"/>
    <x v="2"/>
    <x v="87"/>
    <x v="0"/>
    <x v="2"/>
    <x v="0"/>
    <x v="1"/>
    <x v="1"/>
    <x v="0"/>
    <n v="20"/>
    <n v="10"/>
    <n v="20"/>
  </r>
  <r>
    <x v="89"/>
    <x v="89"/>
    <x v="1"/>
    <x v="88"/>
    <x v="1"/>
    <x v="1"/>
    <x v="2"/>
    <x v="1"/>
    <x v="1"/>
    <x v="1"/>
    <n v="0"/>
    <n v="0"/>
    <n v="5"/>
  </r>
  <r>
    <x v="90"/>
    <x v="90"/>
    <x v="0"/>
    <x v="89"/>
    <x v="0"/>
    <x v="0"/>
    <x v="0"/>
    <x v="0"/>
    <x v="0"/>
    <x v="0"/>
    <n v="20"/>
    <n v="5"/>
    <n v="60"/>
  </r>
  <r>
    <x v="91"/>
    <x v="91"/>
    <x v="2"/>
    <x v="90"/>
    <x v="1"/>
    <x v="2"/>
    <x v="1"/>
    <x v="1"/>
    <x v="1"/>
    <x v="0"/>
    <n v="20"/>
    <n v="15"/>
    <n v="15"/>
  </r>
  <r>
    <x v="92"/>
    <x v="92"/>
    <x v="1"/>
    <x v="91"/>
    <x v="0"/>
    <x v="1"/>
    <x v="0"/>
    <x v="1"/>
    <x v="1"/>
    <x v="1"/>
    <n v="0"/>
    <n v="1"/>
    <n v="4"/>
  </r>
  <r>
    <x v="93"/>
    <x v="93"/>
    <x v="0"/>
    <x v="92"/>
    <x v="1"/>
    <x v="0"/>
    <x v="2"/>
    <x v="0"/>
    <x v="0"/>
    <x v="0"/>
    <n v="20"/>
    <n v="20"/>
    <n v="45"/>
  </r>
  <r>
    <x v="94"/>
    <x v="94"/>
    <x v="2"/>
    <x v="93"/>
    <x v="0"/>
    <x v="2"/>
    <x v="2"/>
    <x v="1"/>
    <x v="1"/>
    <x v="0"/>
    <n v="20"/>
    <n v="15"/>
    <n v="15"/>
  </r>
  <r>
    <x v="95"/>
    <x v="95"/>
    <x v="1"/>
    <x v="94"/>
    <x v="1"/>
    <x v="1"/>
    <x v="1"/>
    <x v="1"/>
    <x v="1"/>
    <x v="1"/>
    <n v="0"/>
    <n v="0"/>
    <n v="5"/>
  </r>
  <r>
    <x v="96"/>
    <x v="96"/>
    <x v="0"/>
    <x v="95"/>
    <x v="0"/>
    <x v="0"/>
    <x v="0"/>
    <x v="0"/>
    <x v="0"/>
    <x v="0"/>
    <n v="20"/>
    <n v="7"/>
    <n v="58"/>
  </r>
  <r>
    <x v="97"/>
    <x v="97"/>
    <x v="2"/>
    <x v="96"/>
    <x v="1"/>
    <x v="2"/>
    <x v="1"/>
    <x v="1"/>
    <x v="1"/>
    <x v="0"/>
    <n v="20"/>
    <n v="10"/>
    <n v="20"/>
  </r>
  <r>
    <x v="98"/>
    <x v="98"/>
    <x v="1"/>
    <x v="97"/>
    <x v="0"/>
    <x v="1"/>
    <x v="2"/>
    <x v="1"/>
    <x v="1"/>
    <x v="1"/>
    <n v="0"/>
    <n v="1"/>
    <n v="4"/>
  </r>
  <r>
    <x v="99"/>
    <x v="99"/>
    <x v="0"/>
    <x v="98"/>
    <x v="1"/>
    <x v="0"/>
    <x v="0"/>
    <x v="0"/>
    <x v="0"/>
    <x v="0"/>
    <n v="20"/>
    <n v="15"/>
    <n v="50"/>
  </r>
  <r>
    <x v="100"/>
    <x v="100"/>
    <x v="2"/>
    <x v="99"/>
    <x v="0"/>
    <x v="2"/>
    <x v="0"/>
    <x v="1"/>
    <x v="1"/>
    <x v="0"/>
    <n v="20"/>
    <n v="5"/>
    <n v="25"/>
  </r>
  <r>
    <x v="101"/>
    <x v="101"/>
    <x v="1"/>
    <x v="100"/>
    <x v="1"/>
    <x v="1"/>
    <x v="1"/>
    <x v="1"/>
    <x v="1"/>
    <x v="1"/>
    <n v="0"/>
    <n v="0"/>
    <n v="5"/>
  </r>
  <r>
    <x v="102"/>
    <x v="102"/>
    <x v="0"/>
    <x v="101"/>
    <x v="0"/>
    <x v="0"/>
    <x v="2"/>
    <x v="0"/>
    <x v="0"/>
    <x v="0"/>
    <n v="20"/>
    <n v="20"/>
    <n v="45"/>
  </r>
  <r>
    <x v="103"/>
    <x v="103"/>
    <x v="2"/>
    <x v="102"/>
    <x v="1"/>
    <x v="2"/>
    <x v="2"/>
    <x v="1"/>
    <x v="1"/>
    <x v="0"/>
    <n v="20"/>
    <n v="12"/>
    <n v="18"/>
  </r>
  <r>
    <x v="104"/>
    <x v="104"/>
    <x v="1"/>
    <x v="103"/>
    <x v="0"/>
    <x v="1"/>
    <x v="0"/>
    <x v="1"/>
    <x v="1"/>
    <x v="1"/>
    <n v="0"/>
    <n v="2"/>
    <n v="3"/>
  </r>
  <r>
    <x v="105"/>
    <x v="105"/>
    <x v="1"/>
    <x v="104"/>
    <x v="0"/>
    <x v="1"/>
    <x v="0"/>
    <x v="1"/>
    <x v="1"/>
    <x v="1"/>
    <n v="0"/>
    <n v="0"/>
    <n v="5"/>
  </r>
  <r>
    <x v="106"/>
    <x v="106"/>
    <x v="0"/>
    <x v="105"/>
    <x v="1"/>
    <x v="0"/>
    <x v="2"/>
    <x v="0"/>
    <x v="0"/>
    <x v="0"/>
    <n v="20"/>
    <n v="7"/>
    <n v="58"/>
  </r>
  <r>
    <x v="107"/>
    <x v="107"/>
    <x v="2"/>
    <x v="106"/>
    <x v="0"/>
    <x v="2"/>
    <x v="1"/>
    <x v="1"/>
    <x v="1"/>
    <x v="0"/>
    <n v="20"/>
    <n v="10"/>
    <n v="20"/>
  </r>
  <r>
    <x v="108"/>
    <x v="108"/>
    <x v="1"/>
    <x v="107"/>
    <x v="1"/>
    <x v="1"/>
    <x v="2"/>
    <x v="1"/>
    <x v="1"/>
    <x v="1"/>
    <n v="0"/>
    <n v="1"/>
    <n v="4"/>
  </r>
  <r>
    <x v="109"/>
    <x v="109"/>
    <x v="0"/>
    <x v="108"/>
    <x v="0"/>
    <x v="0"/>
    <x v="0"/>
    <x v="0"/>
    <x v="0"/>
    <x v="0"/>
    <n v="20"/>
    <n v="15"/>
    <n v="50"/>
  </r>
  <r>
    <x v="110"/>
    <x v="110"/>
    <x v="2"/>
    <x v="109"/>
    <x v="1"/>
    <x v="2"/>
    <x v="0"/>
    <x v="1"/>
    <x v="1"/>
    <x v="0"/>
    <n v="20"/>
    <n v="5"/>
    <n v="25"/>
  </r>
  <r>
    <x v="111"/>
    <x v="111"/>
    <x v="1"/>
    <x v="110"/>
    <x v="0"/>
    <x v="1"/>
    <x v="1"/>
    <x v="1"/>
    <x v="1"/>
    <x v="1"/>
    <n v="0"/>
    <n v="0"/>
    <n v="5"/>
  </r>
  <r>
    <x v="112"/>
    <x v="112"/>
    <x v="0"/>
    <x v="111"/>
    <x v="1"/>
    <x v="0"/>
    <x v="2"/>
    <x v="0"/>
    <x v="0"/>
    <x v="0"/>
    <n v="20"/>
    <n v="20"/>
    <n v="45"/>
  </r>
  <r>
    <x v="113"/>
    <x v="113"/>
    <x v="2"/>
    <x v="112"/>
    <x v="0"/>
    <x v="2"/>
    <x v="2"/>
    <x v="1"/>
    <x v="1"/>
    <x v="0"/>
    <n v="20"/>
    <n v="12"/>
    <n v="18"/>
  </r>
  <r>
    <x v="114"/>
    <x v="114"/>
    <x v="1"/>
    <x v="113"/>
    <x v="1"/>
    <x v="1"/>
    <x v="0"/>
    <x v="1"/>
    <x v="1"/>
    <x v="1"/>
    <n v="0"/>
    <n v="2"/>
    <n v="3"/>
  </r>
  <r>
    <x v="115"/>
    <x v="115"/>
    <x v="0"/>
    <x v="114"/>
    <x v="0"/>
    <x v="0"/>
    <x v="1"/>
    <x v="0"/>
    <x v="0"/>
    <x v="0"/>
    <n v="20"/>
    <n v="5"/>
    <n v="60"/>
  </r>
  <r>
    <x v="116"/>
    <x v="116"/>
    <x v="2"/>
    <x v="115"/>
    <x v="1"/>
    <x v="2"/>
    <x v="0"/>
    <x v="1"/>
    <x v="1"/>
    <x v="0"/>
    <n v="20"/>
    <n v="10"/>
    <n v="20"/>
  </r>
  <r>
    <x v="117"/>
    <x v="117"/>
    <x v="1"/>
    <x v="116"/>
    <x v="0"/>
    <x v="1"/>
    <x v="2"/>
    <x v="1"/>
    <x v="1"/>
    <x v="1"/>
    <n v="0"/>
    <n v="0"/>
    <n v="5"/>
  </r>
  <r>
    <x v="118"/>
    <x v="93"/>
    <x v="0"/>
    <x v="117"/>
    <x v="1"/>
    <x v="0"/>
    <x v="0"/>
    <x v="0"/>
    <x v="0"/>
    <x v="0"/>
    <n v="20"/>
    <n v="3"/>
    <n v="62"/>
  </r>
  <r>
    <x v="119"/>
    <x v="118"/>
    <x v="2"/>
    <x v="118"/>
    <x v="0"/>
    <x v="2"/>
    <x v="1"/>
    <x v="1"/>
    <x v="1"/>
    <x v="0"/>
    <n v="20"/>
    <n v="15"/>
    <n v="15"/>
  </r>
  <r>
    <x v="120"/>
    <x v="119"/>
    <x v="1"/>
    <x v="119"/>
    <x v="1"/>
    <x v="1"/>
    <x v="0"/>
    <x v="1"/>
    <x v="1"/>
    <x v="1"/>
    <n v="0"/>
    <n v="1"/>
    <n v="4"/>
  </r>
  <r>
    <x v="121"/>
    <x v="120"/>
    <x v="0"/>
    <x v="120"/>
    <x v="0"/>
    <x v="0"/>
    <x v="2"/>
    <x v="0"/>
    <x v="0"/>
    <x v="0"/>
    <n v="20"/>
    <n v="7"/>
    <n v="58"/>
  </r>
  <r>
    <x v="122"/>
    <x v="121"/>
    <x v="2"/>
    <x v="121"/>
    <x v="1"/>
    <x v="2"/>
    <x v="0"/>
    <x v="1"/>
    <x v="1"/>
    <x v="0"/>
    <n v="20"/>
    <n v="10"/>
    <n v="20"/>
  </r>
  <r>
    <x v="123"/>
    <x v="122"/>
    <x v="1"/>
    <x v="122"/>
    <x v="0"/>
    <x v="1"/>
    <x v="1"/>
    <x v="1"/>
    <x v="1"/>
    <x v="1"/>
    <n v="0"/>
    <n v="0"/>
    <n v="5"/>
  </r>
  <r>
    <x v="124"/>
    <x v="123"/>
    <x v="0"/>
    <x v="123"/>
    <x v="1"/>
    <x v="0"/>
    <x v="0"/>
    <x v="0"/>
    <x v="0"/>
    <x v="0"/>
    <n v="20"/>
    <n v="20"/>
    <n v="45"/>
  </r>
  <r>
    <x v="125"/>
    <x v="124"/>
    <x v="2"/>
    <x v="124"/>
    <x v="0"/>
    <x v="2"/>
    <x v="2"/>
    <x v="1"/>
    <x v="1"/>
    <x v="0"/>
    <n v="20"/>
    <n v="15"/>
    <n v="15"/>
  </r>
  <r>
    <x v="126"/>
    <x v="125"/>
    <x v="1"/>
    <x v="125"/>
    <x v="1"/>
    <x v="1"/>
    <x v="0"/>
    <x v="1"/>
    <x v="1"/>
    <x v="1"/>
    <n v="0"/>
    <n v="1"/>
    <n v="4"/>
  </r>
  <r>
    <x v="127"/>
    <x v="126"/>
    <x v="0"/>
    <x v="126"/>
    <x v="0"/>
    <x v="0"/>
    <x v="1"/>
    <x v="0"/>
    <x v="0"/>
    <x v="0"/>
    <n v="20"/>
    <n v="3"/>
    <n v="62"/>
  </r>
  <r>
    <x v="128"/>
    <x v="127"/>
    <x v="2"/>
    <x v="127"/>
    <x v="1"/>
    <x v="2"/>
    <x v="0"/>
    <x v="1"/>
    <x v="1"/>
    <x v="0"/>
    <n v="20"/>
    <n v="10"/>
    <n v="20"/>
  </r>
  <r>
    <x v="129"/>
    <x v="128"/>
    <x v="1"/>
    <x v="128"/>
    <x v="0"/>
    <x v="1"/>
    <x v="2"/>
    <x v="1"/>
    <x v="1"/>
    <x v="1"/>
    <n v="0"/>
    <n v="0"/>
    <n v="5"/>
  </r>
  <r>
    <x v="130"/>
    <x v="129"/>
    <x v="0"/>
    <x v="129"/>
    <x v="1"/>
    <x v="0"/>
    <x v="0"/>
    <x v="0"/>
    <x v="0"/>
    <x v="0"/>
    <n v="20"/>
    <n v="15"/>
    <n v="50"/>
  </r>
  <r>
    <x v="131"/>
    <x v="130"/>
    <x v="2"/>
    <x v="130"/>
    <x v="0"/>
    <x v="2"/>
    <x v="1"/>
    <x v="1"/>
    <x v="1"/>
    <x v="0"/>
    <n v="20"/>
    <n v="15"/>
    <n v="15"/>
  </r>
  <r>
    <x v="132"/>
    <x v="131"/>
    <x v="1"/>
    <x v="131"/>
    <x v="1"/>
    <x v="1"/>
    <x v="0"/>
    <x v="1"/>
    <x v="1"/>
    <x v="1"/>
    <n v="0"/>
    <n v="1"/>
    <n v="4"/>
  </r>
  <r>
    <x v="133"/>
    <x v="132"/>
    <x v="0"/>
    <x v="132"/>
    <x v="0"/>
    <x v="0"/>
    <x v="2"/>
    <x v="0"/>
    <x v="0"/>
    <x v="0"/>
    <n v="20"/>
    <n v="7"/>
    <n v="58"/>
  </r>
  <r>
    <x v="134"/>
    <x v="133"/>
    <x v="2"/>
    <x v="133"/>
    <x v="1"/>
    <x v="2"/>
    <x v="0"/>
    <x v="1"/>
    <x v="1"/>
    <x v="0"/>
    <n v="20"/>
    <n v="10"/>
    <n v="20"/>
  </r>
  <r>
    <x v="135"/>
    <x v="134"/>
    <x v="1"/>
    <x v="134"/>
    <x v="0"/>
    <x v="1"/>
    <x v="0"/>
    <x v="1"/>
    <x v="1"/>
    <x v="1"/>
    <n v="0"/>
    <n v="0"/>
    <n v="5"/>
  </r>
  <r>
    <x v="136"/>
    <x v="135"/>
    <x v="0"/>
    <x v="135"/>
    <x v="1"/>
    <x v="0"/>
    <x v="2"/>
    <x v="0"/>
    <x v="0"/>
    <x v="0"/>
    <n v="20"/>
    <n v="7"/>
    <n v="58"/>
  </r>
  <r>
    <x v="137"/>
    <x v="136"/>
    <x v="2"/>
    <x v="136"/>
    <x v="0"/>
    <x v="2"/>
    <x v="1"/>
    <x v="1"/>
    <x v="1"/>
    <x v="0"/>
    <n v="20"/>
    <n v="10"/>
    <n v="20"/>
  </r>
  <r>
    <x v="138"/>
    <x v="137"/>
    <x v="1"/>
    <x v="137"/>
    <x v="1"/>
    <x v="1"/>
    <x v="2"/>
    <x v="1"/>
    <x v="1"/>
    <x v="1"/>
    <n v="0"/>
    <n v="1"/>
    <n v="4"/>
  </r>
  <r>
    <x v="139"/>
    <x v="138"/>
    <x v="0"/>
    <x v="138"/>
    <x v="0"/>
    <x v="0"/>
    <x v="0"/>
    <x v="0"/>
    <x v="0"/>
    <x v="0"/>
    <n v="20"/>
    <n v="15"/>
    <n v="50"/>
  </r>
  <r>
    <x v="140"/>
    <x v="139"/>
    <x v="2"/>
    <x v="139"/>
    <x v="1"/>
    <x v="2"/>
    <x v="0"/>
    <x v="1"/>
    <x v="1"/>
    <x v="0"/>
    <n v="20"/>
    <n v="5"/>
    <n v="25"/>
  </r>
  <r>
    <x v="141"/>
    <x v="140"/>
    <x v="1"/>
    <x v="140"/>
    <x v="0"/>
    <x v="1"/>
    <x v="1"/>
    <x v="1"/>
    <x v="1"/>
    <x v="1"/>
    <n v="0"/>
    <n v="0"/>
    <n v="5"/>
  </r>
  <r>
    <x v="142"/>
    <x v="141"/>
    <x v="0"/>
    <x v="141"/>
    <x v="1"/>
    <x v="0"/>
    <x v="2"/>
    <x v="0"/>
    <x v="0"/>
    <x v="0"/>
    <n v="20"/>
    <n v="20"/>
    <n v="45"/>
  </r>
  <r>
    <x v="143"/>
    <x v="142"/>
    <x v="2"/>
    <x v="142"/>
    <x v="0"/>
    <x v="2"/>
    <x v="2"/>
    <x v="1"/>
    <x v="1"/>
    <x v="0"/>
    <n v="20"/>
    <n v="12"/>
    <n v="18"/>
  </r>
  <r>
    <x v="144"/>
    <x v="143"/>
    <x v="1"/>
    <x v="143"/>
    <x v="1"/>
    <x v="1"/>
    <x v="0"/>
    <x v="1"/>
    <x v="1"/>
    <x v="1"/>
    <n v="0"/>
    <n v="2"/>
    <n v="3"/>
  </r>
  <r>
    <x v="145"/>
    <x v="144"/>
    <x v="0"/>
    <x v="144"/>
    <x v="0"/>
    <x v="0"/>
    <x v="1"/>
    <x v="0"/>
    <x v="0"/>
    <x v="0"/>
    <n v="20"/>
    <n v="5"/>
    <n v="60"/>
  </r>
  <r>
    <x v="146"/>
    <x v="145"/>
    <x v="2"/>
    <x v="145"/>
    <x v="1"/>
    <x v="2"/>
    <x v="0"/>
    <x v="1"/>
    <x v="1"/>
    <x v="0"/>
    <n v="20"/>
    <n v="10"/>
    <n v="20"/>
  </r>
  <r>
    <x v="147"/>
    <x v="146"/>
    <x v="1"/>
    <x v="146"/>
    <x v="0"/>
    <x v="1"/>
    <x v="2"/>
    <x v="1"/>
    <x v="1"/>
    <x v="1"/>
    <n v="0"/>
    <n v="0"/>
    <n v="5"/>
  </r>
  <r>
    <x v="148"/>
    <x v="147"/>
    <x v="0"/>
    <x v="147"/>
    <x v="1"/>
    <x v="0"/>
    <x v="0"/>
    <x v="0"/>
    <x v="0"/>
    <x v="0"/>
    <n v="20"/>
    <n v="3"/>
    <n v="62"/>
  </r>
  <r>
    <x v="149"/>
    <x v="148"/>
    <x v="2"/>
    <x v="148"/>
    <x v="0"/>
    <x v="2"/>
    <x v="1"/>
    <x v="1"/>
    <x v="1"/>
    <x v="0"/>
    <n v="20"/>
    <n v="15"/>
    <n v="15"/>
  </r>
  <r>
    <x v="150"/>
    <x v="149"/>
    <x v="1"/>
    <x v="149"/>
    <x v="1"/>
    <x v="1"/>
    <x v="0"/>
    <x v="1"/>
    <x v="1"/>
    <x v="1"/>
    <n v="0"/>
    <n v="1"/>
    <n v="4"/>
  </r>
  <r>
    <x v="151"/>
    <x v="150"/>
    <x v="0"/>
    <x v="150"/>
    <x v="0"/>
    <x v="0"/>
    <x v="2"/>
    <x v="0"/>
    <x v="0"/>
    <x v="0"/>
    <n v="20"/>
    <n v="7"/>
    <n v="58"/>
  </r>
  <r>
    <x v="152"/>
    <x v="151"/>
    <x v="2"/>
    <x v="151"/>
    <x v="1"/>
    <x v="2"/>
    <x v="0"/>
    <x v="1"/>
    <x v="1"/>
    <x v="0"/>
    <n v="20"/>
    <n v="10"/>
    <n v="20"/>
  </r>
  <r>
    <x v="153"/>
    <x v="152"/>
    <x v="1"/>
    <x v="152"/>
    <x v="0"/>
    <x v="1"/>
    <x v="1"/>
    <x v="1"/>
    <x v="1"/>
    <x v="1"/>
    <n v="0"/>
    <n v="0"/>
    <n v="5"/>
  </r>
  <r>
    <x v="154"/>
    <x v="153"/>
    <x v="0"/>
    <x v="153"/>
    <x v="1"/>
    <x v="0"/>
    <x v="0"/>
    <x v="0"/>
    <x v="0"/>
    <x v="0"/>
    <n v="20"/>
    <n v="20"/>
    <n v="45"/>
  </r>
  <r>
    <x v="155"/>
    <x v="154"/>
    <x v="2"/>
    <x v="154"/>
    <x v="0"/>
    <x v="2"/>
    <x v="2"/>
    <x v="1"/>
    <x v="1"/>
    <x v="0"/>
    <n v="20"/>
    <n v="15"/>
    <n v="15"/>
  </r>
  <r>
    <x v="156"/>
    <x v="155"/>
    <x v="1"/>
    <x v="155"/>
    <x v="1"/>
    <x v="1"/>
    <x v="0"/>
    <x v="1"/>
    <x v="1"/>
    <x v="1"/>
    <n v="0"/>
    <n v="1"/>
    <n v="4"/>
  </r>
  <r>
    <x v="157"/>
    <x v="156"/>
    <x v="0"/>
    <x v="156"/>
    <x v="0"/>
    <x v="0"/>
    <x v="1"/>
    <x v="0"/>
    <x v="0"/>
    <x v="0"/>
    <n v="20"/>
    <n v="3"/>
    <n v="62"/>
  </r>
  <r>
    <x v="158"/>
    <x v="157"/>
    <x v="2"/>
    <x v="157"/>
    <x v="1"/>
    <x v="2"/>
    <x v="0"/>
    <x v="1"/>
    <x v="1"/>
    <x v="0"/>
    <n v="20"/>
    <n v="10"/>
    <n v="20"/>
  </r>
  <r>
    <x v="159"/>
    <x v="158"/>
    <x v="1"/>
    <x v="158"/>
    <x v="0"/>
    <x v="1"/>
    <x v="2"/>
    <x v="1"/>
    <x v="1"/>
    <x v="1"/>
    <n v="0"/>
    <n v="0"/>
    <n v="5"/>
  </r>
  <r>
    <x v="160"/>
    <x v="58"/>
    <x v="0"/>
    <x v="159"/>
    <x v="1"/>
    <x v="0"/>
    <x v="0"/>
    <x v="0"/>
    <x v="0"/>
    <x v="0"/>
    <n v="20"/>
    <n v="15"/>
    <n v="50"/>
  </r>
  <r>
    <x v="161"/>
    <x v="159"/>
    <x v="2"/>
    <x v="160"/>
    <x v="0"/>
    <x v="2"/>
    <x v="1"/>
    <x v="1"/>
    <x v="1"/>
    <x v="0"/>
    <n v="20"/>
    <n v="15"/>
    <n v="15"/>
  </r>
  <r>
    <x v="162"/>
    <x v="160"/>
    <x v="1"/>
    <x v="161"/>
    <x v="1"/>
    <x v="1"/>
    <x v="0"/>
    <x v="1"/>
    <x v="1"/>
    <x v="1"/>
    <n v="0"/>
    <n v="1"/>
    <n v="4"/>
  </r>
  <r>
    <x v="163"/>
    <x v="161"/>
    <x v="0"/>
    <x v="162"/>
    <x v="0"/>
    <x v="0"/>
    <x v="2"/>
    <x v="0"/>
    <x v="0"/>
    <x v="0"/>
    <n v="20"/>
    <n v="7"/>
    <n v="58"/>
  </r>
  <r>
    <x v="164"/>
    <x v="162"/>
    <x v="2"/>
    <x v="163"/>
    <x v="1"/>
    <x v="2"/>
    <x v="0"/>
    <x v="1"/>
    <x v="1"/>
    <x v="0"/>
    <n v="20"/>
    <n v="10"/>
    <n v="20"/>
  </r>
  <r>
    <x v="165"/>
    <x v="163"/>
    <x v="1"/>
    <x v="164"/>
    <x v="0"/>
    <x v="1"/>
    <x v="1"/>
    <x v="1"/>
    <x v="1"/>
    <x v="1"/>
    <n v="0"/>
    <n v="0"/>
    <n v="5"/>
  </r>
  <r>
    <x v="166"/>
    <x v="90"/>
    <x v="0"/>
    <x v="165"/>
    <x v="1"/>
    <x v="0"/>
    <x v="0"/>
    <x v="0"/>
    <x v="0"/>
    <x v="0"/>
    <n v="20"/>
    <n v="20"/>
    <n v="45"/>
  </r>
  <r>
    <x v="167"/>
    <x v="164"/>
    <x v="2"/>
    <x v="166"/>
    <x v="0"/>
    <x v="2"/>
    <x v="2"/>
    <x v="1"/>
    <x v="1"/>
    <x v="0"/>
    <n v="20"/>
    <n v="15"/>
    <n v="15"/>
  </r>
  <r>
    <x v="168"/>
    <x v="165"/>
    <x v="1"/>
    <x v="167"/>
    <x v="1"/>
    <x v="1"/>
    <x v="0"/>
    <x v="1"/>
    <x v="1"/>
    <x v="1"/>
    <n v="0"/>
    <n v="1"/>
    <n v="4"/>
  </r>
  <r>
    <x v="169"/>
    <x v="166"/>
    <x v="0"/>
    <x v="168"/>
    <x v="0"/>
    <x v="0"/>
    <x v="1"/>
    <x v="0"/>
    <x v="0"/>
    <x v="0"/>
    <n v="20"/>
    <n v="5"/>
    <n v="60"/>
  </r>
  <r>
    <x v="170"/>
    <x v="167"/>
    <x v="2"/>
    <x v="169"/>
    <x v="1"/>
    <x v="2"/>
    <x v="0"/>
    <x v="1"/>
    <x v="1"/>
    <x v="0"/>
    <n v="20"/>
    <n v="10"/>
    <n v="20"/>
  </r>
  <r>
    <x v="171"/>
    <x v="168"/>
    <x v="1"/>
    <x v="170"/>
    <x v="0"/>
    <x v="1"/>
    <x v="2"/>
    <x v="1"/>
    <x v="1"/>
    <x v="1"/>
    <n v="0"/>
    <n v="0"/>
    <n v="5"/>
  </r>
  <r>
    <x v="172"/>
    <x v="169"/>
    <x v="0"/>
    <x v="171"/>
    <x v="1"/>
    <x v="0"/>
    <x v="0"/>
    <x v="0"/>
    <x v="0"/>
    <x v="0"/>
    <n v="20"/>
    <n v="3"/>
    <n v="62"/>
  </r>
  <r>
    <x v="173"/>
    <x v="170"/>
    <x v="2"/>
    <x v="172"/>
    <x v="0"/>
    <x v="2"/>
    <x v="1"/>
    <x v="1"/>
    <x v="1"/>
    <x v="0"/>
    <n v="20"/>
    <n v="15"/>
    <n v="15"/>
  </r>
  <r>
    <x v="174"/>
    <x v="171"/>
    <x v="1"/>
    <x v="173"/>
    <x v="1"/>
    <x v="1"/>
    <x v="0"/>
    <x v="1"/>
    <x v="1"/>
    <x v="1"/>
    <n v="0"/>
    <n v="1"/>
    <n v="4"/>
  </r>
  <r>
    <x v="175"/>
    <x v="172"/>
    <x v="1"/>
    <x v="174"/>
    <x v="0"/>
    <x v="1"/>
    <x v="0"/>
    <x v="1"/>
    <x v="1"/>
    <x v="1"/>
    <n v="0"/>
    <n v="0"/>
    <n v="5"/>
  </r>
  <r>
    <x v="176"/>
    <x v="173"/>
    <x v="0"/>
    <x v="175"/>
    <x v="1"/>
    <x v="0"/>
    <x v="2"/>
    <x v="0"/>
    <x v="0"/>
    <x v="0"/>
    <n v="20"/>
    <n v="7"/>
    <n v="58"/>
  </r>
  <r>
    <x v="177"/>
    <x v="174"/>
    <x v="2"/>
    <x v="176"/>
    <x v="0"/>
    <x v="2"/>
    <x v="1"/>
    <x v="1"/>
    <x v="1"/>
    <x v="0"/>
    <n v="20"/>
    <n v="10"/>
    <n v="20"/>
  </r>
  <r>
    <x v="178"/>
    <x v="175"/>
    <x v="1"/>
    <x v="177"/>
    <x v="1"/>
    <x v="1"/>
    <x v="2"/>
    <x v="1"/>
    <x v="1"/>
    <x v="1"/>
    <n v="0"/>
    <n v="1"/>
    <n v="4"/>
  </r>
  <r>
    <x v="179"/>
    <x v="176"/>
    <x v="0"/>
    <x v="178"/>
    <x v="0"/>
    <x v="0"/>
    <x v="0"/>
    <x v="0"/>
    <x v="0"/>
    <x v="0"/>
    <n v="20"/>
    <n v="15"/>
    <n v="50"/>
  </r>
  <r>
    <x v="180"/>
    <x v="177"/>
    <x v="2"/>
    <x v="179"/>
    <x v="1"/>
    <x v="2"/>
    <x v="0"/>
    <x v="1"/>
    <x v="1"/>
    <x v="0"/>
    <n v="20"/>
    <n v="5"/>
    <n v="25"/>
  </r>
  <r>
    <x v="181"/>
    <x v="178"/>
    <x v="1"/>
    <x v="180"/>
    <x v="0"/>
    <x v="1"/>
    <x v="1"/>
    <x v="1"/>
    <x v="1"/>
    <x v="1"/>
    <n v="0"/>
    <n v="0"/>
    <n v="5"/>
  </r>
  <r>
    <x v="182"/>
    <x v="179"/>
    <x v="0"/>
    <x v="181"/>
    <x v="1"/>
    <x v="0"/>
    <x v="2"/>
    <x v="0"/>
    <x v="0"/>
    <x v="0"/>
    <n v="20"/>
    <n v="20"/>
    <n v="45"/>
  </r>
  <r>
    <x v="183"/>
    <x v="180"/>
    <x v="2"/>
    <x v="182"/>
    <x v="0"/>
    <x v="2"/>
    <x v="2"/>
    <x v="1"/>
    <x v="1"/>
    <x v="0"/>
    <n v="20"/>
    <n v="12"/>
    <n v="18"/>
  </r>
  <r>
    <x v="184"/>
    <x v="181"/>
    <x v="1"/>
    <x v="183"/>
    <x v="1"/>
    <x v="1"/>
    <x v="0"/>
    <x v="1"/>
    <x v="1"/>
    <x v="1"/>
    <n v="0"/>
    <n v="2"/>
    <n v="3"/>
  </r>
  <r>
    <x v="185"/>
    <x v="182"/>
    <x v="0"/>
    <x v="184"/>
    <x v="0"/>
    <x v="0"/>
    <x v="1"/>
    <x v="0"/>
    <x v="0"/>
    <x v="0"/>
    <n v="20"/>
    <n v="5"/>
    <n v="60"/>
  </r>
  <r>
    <x v="186"/>
    <x v="183"/>
    <x v="2"/>
    <x v="185"/>
    <x v="1"/>
    <x v="2"/>
    <x v="0"/>
    <x v="1"/>
    <x v="1"/>
    <x v="0"/>
    <n v="20"/>
    <n v="10"/>
    <n v="20"/>
  </r>
  <r>
    <x v="187"/>
    <x v="184"/>
    <x v="1"/>
    <x v="186"/>
    <x v="0"/>
    <x v="1"/>
    <x v="2"/>
    <x v="1"/>
    <x v="1"/>
    <x v="1"/>
    <n v="0"/>
    <n v="0"/>
    <n v="5"/>
  </r>
  <r>
    <x v="188"/>
    <x v="185"/>
    <x v="0"/>
    <x v="187"/>
    <x v="1"/>
    <x v="0"/>
    <x v="0"/>
    <x v="0"/>
    <x v="0"/>
    <x v="0"/>
    <n v="20"/>
    <n v="3"/>
    <n v="62"/>
  </r>
  <r>
    <x v="189"/>
    <x v="186"/>
    <x v="2"/>
    <x v="188"/>
    <x v="0"/>
    <x v="2"/>
    <x v="1"/>
    <x v="1"/>
    <x v="1"/>
    <x v="0"/>
    <n v="20"/>
    <n v="15"/>
    <n v="15"/>
  </r>
  <r>
    <x v="190"/>
    <x v="15"/>
    <x v="1"/>
    <x v="189"/>
    <x v="1"/>
    <x v="1"/>
    <x v="0"/>
    <x v="1"/>
    <x v="1"/>
    <x v="1"/>
    <n v="0"/>
    <n v="1"/>
    <n v="4"/>
  </r>
  <r>
    <x v="191"/>
    <x v="187"/>
    <x v="0"/>
    <x v="190"/>
    <x v="0"/>
    <x v="0"/>
    <x v="2"/>
    <x v="0"/>
    <x v="0"/>
    <x v="0"/>
    <n v="20"/>
    <n v="7"/>
    <n v="58"/>
  </r>
  <r>
    <x v="192"/>
    <x v="188"/>
    <x v="2"/>
    <x v="191"/>
    <x v="1"/>
    <x v="2"/>
    <x v="0"/>
    <x v="1"/>
    <x v="1"/>
    <x v="0"/>
    <n v="20"/>
    <n v="10"/>
    <n v="20"/>
  </r>
  <r>
    <x v="193"/>
    <x v="14"/>
    <x v="1"/>
    <x v="192"/>
    <x v="0"/>
    <x v="1"/>
    <x v="1"/>
    <x v="1"/>
    <x v="1"/>
    <x v="1"/>
    <n v="0"/>
    <n v="0"/>
    <n v="5"/>
  </r>
  <r>
    <x v="194"/>
    <x v="189"/>
    <x v="0"/>
    <x v="193"/>
    <x v="1"/>
    <x v="0"/>
    <x v="0"/>
    <x v="0"/>
    <x v="0"/>
    <x v="0"/>
    <n v="20"/>
    <n v="20"/>
    <n v="45"/>
  </r>
  <r>
    <x v="195"/>
    <x v="167"/>
    <x v="2"/>
    <x v="194"/>
    <x v="0"/>
    <x v="2"/>
    <x v="2"/>
    <x v="1"/>
    <x v="1"/>
    <x v="0"/>
    <n v="20"/>
    <n v="15"/>
    <n v="15"/>
  </r>
  <r>
    <x v="196"/>
    <x v="190"/>
    <x v="1"/>
    <x v="195"/>
    <x v="1"/>
    <x v="1"/>
    <x v="0"/>
    <x v="1"/>
    <x v="1"/>
    <x v="1"/>
    <n v="0"/>
    <n v="1"/>
    <n v="4"/>
  </r>
  <r>
    <x v="197"/>
    <x v="191"/>
    <x v="0"/>
    <x v="196"/>
    <x v="0"/>
    <x v="0"/>
    <x v="1"/>
    <x v="0"/>
    <x v="0"/>
    <x v="0"/>
    <n v="20"/>
    <n v="3"/>
    <n v="62"/>
  </r>
  <r>
    <x v="198"/>
    <x v="192"/>
    <x v="2"/>
    <x v="197"/>
    <x v="1"/>
    <x v="2"/>
    <x v="0"/>
    <x v="1"/>
    <x v="1"/>
    <x v="0"/>
    <n v="20"/>
    <n v="10"/>
    <n v="20"/>
  </r>
  <r>
    <x v="199"/>
    <x v="193"/>
    <x v="1"/>
    <x v="198"/>
    <x v="0"/>
    <x v="1"/>
    <x v="2"/>
    <x v="1"/>
    <x v="1"/>
    <x v="1"/>
    <n v="0"/>
    <n v="0"/>
    <n v="5"/>
  </r>
  <r>
    <x v="200"/>
    <x v="194"/>
    <x v="0"/>
    <x v="199"/>
    <x v="1"/>
    <x v="0"/>
    <x v="0"/>
    <x v="0"/>
    <x v="0"/>
    <x v="0"/>
    <n v="20"/>
    <n v="15"/>
    <n v="50"/>
  </r>
  <r>
    <x v="201"/>
    <x v="195"/>
    <x v="2"/>
    <x v="200"/>
    <x v="0"/>
    <x v="2"/>
    <x v="1"/>
    <x v="1"/>
    <x v="1"/>
    <x v="0"/>
    <n v="20"/>
    <n v="15"/>
    <n v="15"/>
  </r>
  <r>
    <x v="202"/>
    <x v="196"/>
    <x v="1"/>
    <x v="201"/>
    <x v="1"/>
    <x v="1"/>
    <x v="0"/>
    <x v="1"/>
    <x v="1"/>
    <x v="1"/>
    <n v="0"/>
    <n v="1"/>
    <n v="4"/>
  </r>
  <r>
    <x v="203"/>
    <x v="197"/>
    <x v="0"/>
    <x v="202"/>
    <x v="0"/>
    <x v="0"/>
    <x v="2"/>
    <x v="0"/>
    <x v="0"/>
    <x v="0"/>
    <n v="20"/>
    <n v="7"/>
    <n v="58"/>
  </r>
  <r>
    <x v="204"/>
    <x v="198"/>
    <x v="2"/>
    <x v="203"/>
    <x v="1"/>
    <x v="2"/>
    <x v="0"/>
    <x v="1"/>
    <x v="1"/>
    <x v="0"/>
    <n v="20"/>
    <n v="10"/>
    <n v="20"/>
  </r>
  <r>
    <x v="205"/>
    <x v="199"/>
    <x v="1"/>
    <x v="204"/>
    <x v="0"/>
    <x v="1"/>
    <x v="0"/>
    <x v="1"/>
    <x v="1"/>
    <x v="1"/>
    <n v="0"/>
    <n v="0"/>
    <n v="5"/>
  </r>
  <r>
    <x v="206"/>
    <x v="200"/>
    <x v="0"/>
    <x v="205"/>
    <x v="1"/>
    <x v="0"/>
    <x v="2"/>
    <x v="0"/>
    <x v="0"/>
    <x v="0"/>
    <n v="20"/>
    <n v="7"/>
    <n v="58"/>
  </r>
  <r>
    <x v="207"/>
    <x v="201"/>
    <x v="2"/>
    <x v="206"/>
    <x v="0"/>
    <x v="2"/>
    <x v="1"/>
    <x v="1"/>
    <x v="1"/>
    <x v="0"/>
    <n v="20"/>
    <n v="10"/>
    <n v="20"/>
  </r>
  <r>
    <x v="208"/>
    <x v="202"/>
    <x v="1"/>
    <x v="207"/>
    <x v="1"/>
    <x v="1"/>
    <x v="2"/>
    <x v="1"/>
    <x v="1"/>
    <x v="1"/>
    <n v="0"/>
    <n v="1"/>
    <n v="4"/>
  </r>
  <r>
    <x v="209"/>
    <x v="203"/>
    <x v="0"/>
    <x v="208"/>
    <x v="0"/>
    <x v="0"/>
    <x v="0"/>
    <x v="0"/>
    <x v="0"/>
    <x v="0"/>
    <n v="20"/>
    <n v="15"/>
    <n v="50"/>
  </r>
  <r>
    <x v="210"/>
    <x v="204"/>
    <x v="2"/>
    <x v="209"/>
    <x v="1"/>
    <x v="2"/>
    <x v="0"/>
    <x v="1"/>
    <x v="1"/>
    <x v="0"/>
    <n v="20"/>
    <n v="5"/>
    <n v="25"/>
  </r>
  <r>
    <x v="211"/>
    <x v="205"/>
    <x v="1"/>
    <x v="210"/>
    <x v="0"/>
    <x v="1"/>
    <x v="1"/>
    <x v="1"/>
    <x v="1"/>
    <x v="1"/>
    <n v="0"/>
    <n v="0"/>
    <n v="5"/>
  </r>
  <r>
    <x v="212"/>
    <x v="206"/>
    <x v="0"/>
    <x v="211"/>
    <x v="1"/>
    <x v="0"/>
    <x v="2"/>
    <x v="0"/>
    <x v="0"/>
    <x v="0"/>
    <n v="20"/>
    <n v="20"/>
    <n v="45"/>
  </r>
  <r>
    <x v="213"/>
    <x v="207"/>
    <x v="2"/>
    <x v="212"/>
    <x v="0"/>
    <x v="2"/>
    <x v="2"/>
    <x v="1"/>
    <x v="1"/>
    <x v="0"/>
    <n v="20"/>
    <n v="12"/>
    <n v="18"/>
  </r>
  <r>
    <x v="214"/>
    <x v="37"/>
    <x v="1"/>
    <x v="213"/>
    <x v="1"/>
    <x v="1"/>
    <x v="0"/>
    <x v="1"/>
    <x v="1"/>
    <x v="1"/>
    <n v="0"/>
    <n v="2"/>
    <n v="3"/>
  </r>
  <r>
    <x v="215"/>
    <x v="208"/>
    <x v="0"/>
    <x v="214"/>
    <x v="0"/>
    <x v="0"/>
    <x v="1"/>
    <x v="0"/>
    <x v="0"/>
    <x v="0"/>
    <n v="20"/>
    <n v="5"/>
    <n v="60"/>
  </r>
  <r>
    <x v="216"/>
    <x v="209"/>
    <x v="2"/>
    <x v="215"/>
    <x v="1"/>
    <x v="2"/>
    <x v="0"/>
    <x v="1"/>
    <x v="1"/>
    <x v="0"/>
    <n v="20"/>
    <n v="10"/>
    <n v="20"/>
  </r>
  <r>
    <x v="217"/>
    <x v="210"/>
    <x v="1"/>
    <x v="216"/>
    <x v="0"/>
    <x v="1"/>
    <x v="2"/>
    <x v="1"/>
    <x v="1"/>
    <x v="1"/>
    <n v="0"/>
    <n v="0"/>
    <n v="5"/>
  </r>
  <r>
    <x v="218"/>
    <x v="211"/>
    <x v="0"/>
    <x v="217"/>
    <x v="1"/>
    <x v="0"/>
    <x v="0"/>
    <x v="0"/>
    <x v="0"/>
    <x v="0"/>
    <n v="20"/>
    <n v="3"/>
    <n v="62"/>
  </r>
  <r>
    <x v="219"/>
    <x v="212"/>
    <x v="2"/>
    <x v="218"/>
    <x v="0"/>
    <x v="2"/>
    <x v="1"/>
    <x v="1"/>
    <x v="1"/>
    <x v="0"/>
    <n v="20"/>
    <n v="15"/>
    <n v="15"/>
  </r>
  <r>
    <x v="220"/>
    <x v="213"/>
    <x v="1"/>
    <x v="219"/>
    <x v="1"/>
    <x v="1"/>
    <x v="0"/>
    <x v="1"/>
    <x v="1"/>
    <x v="1"/>
    <n v="0"/>
    <n v="1"/>
    <n v="4"/>
  </r>
  <r>
    <x v="221"/>
    <x v="191"/>
    <x v="0"/>
    <x v="220"/>
    <x v="0"/>
    <x v="0"/>
    <x v="2"/>
    <x v="0"/>
    <x v="0"/>
    <x v="0"/>
    <n v="20"/>
    <n v="7"/>
    <n v="58"/>
  </r>
  <r>
    <x v="222"/>
    <x v="45"/>
    <x v="2"/>
    <x v="221"/>
    <x v="1"/>
    <x v="2"/>
    <x v="0"/>
    <x v="1"/>
    <x v="1"/>
    <x v="0"/>
    <n v="20"/>
    <n v="10"/>
    <n v="20"/>
  </r>
  <r>
    <x v="223"/>
    <x v="214"/>
    <x v="1"/>
    <x v="222"/>
    <x v="0"/>
    <x v="1"/>
    <x v="1"/>
    <x v="1"/>
    <x v="1"/>
    <x v="1"/>
    <n v="0"/>
    <n v="0"/>
    <n v="5"/>
  </r>
  <r>
    <x v="224"/>
    <x v="215"/>
    <x v="0"/>
    <x v="223"/>
    <x v="1"/>
    <x v="0"/>
    <x v="0"/>
    <x v="0"/>
    <x v="0"/>
    <x v="0"/>
    <n v="20"/>
    <n v="20"/>
    <n v="45"/>
  </r>
  <r>
    <x v="225"/>
    <x v="216"/>
    <x v="2"/>
    <x v="224"/>
    <x v="0"/>
    <x v="2"/>
    <x v="2"/>
    <x v="1"/>
    <x v="1"/>
    <x v="0"/>
    <n v="20"/>
    <n v="15"/>
    <n v="15"/>
  </r>
  <r>
    <x v="226"/>
    <x v="217"/>
    <x v="1"/>
    <x v="225"/>
    <x v="1"/>
    <x v="1"/>
    <x v="0"/>
    <x v="1"/>
    <x v="1"/>
    <x v="1"/>
    <n v="0"/>
    <n v="1"/>
    <n v="4"/>
  </r>
  <r>
    <x v="227"/>
    <x v="218"/>
    <x v="0"/>
    <x v="226"/>
    <x v="0"/>
    <x v="0"/>
    <x v="1"/>
    <x v="0"/>
    <x v="0"/>
    <x v="0"/>
    <n v="20"/>
    <n v="3"/>
    <n v="62"/>
  </r>
  <r>
    <x v="228"/>
    <x v="219"/>
    <x v="2"/>
    <x v="227"/>
    <x v="1"/>
    <x v="2"/>
    <x v="0"/>
    <x v="1"/>
    <x v="1"/>
    <x v="0"/>
    <n v="20"/>
    <n v="10"/>
    <n v="20"/>
  </r>
  <r>
    <x v="229"/>
    <x v="127"/>
    <x v="1"/>
    <x v="228"/>
    <x v="0"/>
    <x v="1"/>
    <x v="2"/>
    <x v="1"/>
    <x v="1"/>
    <x v="1"/>
    <n v="0"/>
    <n v="0"/>
    <n v="5"/>
  </r>
  <r>
    <x v="230"/>
    <x v="220"/>
    <x v="0"/>
    <x v="229"/>
    <x v="1"/>
    <x v="0"/>
    <x v="0"/>
    <x v="0"/>
    <x v="0"/>
    <x v="0"/>
    <n v="20"/>
    <n v="15"/>
    <n v="50"/>
  </r>
  <r>
    <x v="231"/>
    <x v="221"/>
    <x v="2"/>
    <x v="230"/>
    <x v="0"/>
    <x v="2"/>
    <x v="1"/>
    <x v="1"/>
    <x v="1"/>
    <x v="0"/>
    <n v="20"/>
    <n v="15"/>
    <n v="15"/>
  </r>
  <r>
    <x v="232"/>
    <x v="222"/>
    <x v="1"/>
    <x v="231"/>
    <x v="1"/>
    <x v="1"/>
    <x v="0"/>
    <x v="1"/>
    <x v="1"/>
    <x v="1"/>
    <n v="0"/>
    <n v="1"/>
    <n v="4"/>
  </r>
  <r>
    <x v="233"/>
    <x v="223"/>
    <x v="0"/>
    <x v="232"/>
    <x v="0"/>
    <x v="0"/>
    <x v="2"/>
    <x v="0"/>
    <x v="0"/>
    <x v="0"/>
    <n v="20"/>
    <n v="7"/>
    <n v="58"/>
  </r>
  <r>
    <x v="234"/>
    <x v="224"/>
    <x v="2"/>
    <x v="233"/>
    <x v="1"/>
    <x v="2"/>
    <x v="0"/>
    <x v="1"/>
    <x v="1"/>
    <x v="0"/>
    <n v="20"/>
    <n v="10"/>
    <n v="20"/>
  </r>
  <r>
    <x v="235"/>
    <x v="225"/>
    <x v="1"/>
    <x v="234"/>
    <x v="0"/>
    <x v="1"/>
    <x v="1"/>
    <x v="1"/>
    <x v="1"/>
    <x v="1"/>
    <n v="0"/>
    <n v="0"/>
    <n v="5"/>
  </r>
  <r>
    <x v="236"/>
    <x v="226"/>
    <x v="0"/>
    <x v="235"/>
    <x v="1"/>
    <x v="0"/>
    <x v="0"/>
    <x v="0"/>
    <x v="0"/>
    <x v="0"/>
    <n v="20"/>
    <n v="15"/>
    <n v="50"/>
  </r>
  <r>
    <x v="237"/>
    <x v="227"/>
    <x v="2"/>
    <x v="236"/>
    <x v="0"/>
    <x v="2"/>
    <x v="2"/>
    <x v="1"/>
    <x v="1"/>
    <x v="0"/>
    <n v="20"/>
    <n v="12"/>
    <n v="18"/>
  </r>
  <r>
    <x v="238"/>
    <x v="228"/>
    <x v="1"/>
    <x v="237"/>
    <x v="1"/>
    <x v="1"/>
    <x v="0"/>
    <x v="1"/>
    <x v="1"/>
    <x v="1"/>
    <n v="0"/>
    <n v="2"/>
    <n v="3"/>
  </r>
  <r>
    <x v="239"/>
    <x v="229"/>
    <x v="0"/>
    <x v="238"/>
    <x v="0"/>
    <x v="0"/>
    <x v="1"/>
    <x v="0"/>
    <x v="0"/>
    <x v="0"/>
    <n v="20"/>
    <n v="5"/>
    <n v="60"/>
  </r>
  <r>
    <x v="240"/>
    <x v="230"/>
    <x v="2"/>
    <x v="239"/>
    <x v="1"/>
    <x v="2"/>
    <x v="0"/>
    <x v="1"/>
    <x v="1"/>
    <x v="0"/>
    <n v="20"/>
    <n v="10"/>
    <n v="20"/>
  </r>
  <r>
    <x v="241"/>
    <x v="231"/>
    <x v="1"/>
    <x v="240"/>
    <x v="0"/>
    <x v="1"/>
    <x v="2"/>
    <x v="1"/>
    <x v="1"/>
    <x v="1"/>
    <n v="0"/>
    <n v="0"/>
    <n v="5"/>
  </r>
  <r>
    <x v="242"/>
    <x v="140"/>
    <x v="0"/>
    <x v="241"/>
    <x v="1"/>
    <x v="0"/>
    <x v="0"/>
    <x v="0"/>
    <x v="0"/>
    <x v="0"/>
    <n v="20"/>
    <n v="3"/>
    <n v="62"/>
  </r>
  <r>
    <x v="243"/>
    <x v="232"/>
    <x v="2"/>
    <x v="242"/>
    <x v="0"/>
    <x v="2"/>
    <x v="1"/>
    <x v="1"/>
    <x v="1"/>
    <x v="0"/>
    <n v="20"/>
    <n v="15"/>
    <n v="15"/>
  </r>
  <r>
    <x v="244"/>
    <x v="233"/>
    <x v="1"/>
    <x v="243"/>
    <x v="1"/>
    <x v="1"/>
    <x v="0"/>
    <x v="1"/>
    <x v="1"/>
    <x v="1"/>
    <n v="0"/>
    <n v="1"/>
    <n v="4"/>
  </r>
  <r>
    <x v="245"/>
    <x v="234"/>
    <x v="0"/>
    <x v="244"/>
    <x v="0"/>
    <x v="0"/>
    <x v="2"/>
    <x v="0"/>
    <x v="0"/>
    <x v="0"/>
    <n v="20"/>
    <n v="7"/>
    <n v="58"/>
  </r>
  <r>
    <x v="246"/>
    <x v="235"/>
    <x v="2"/>
    <x v="245"/>
    <x v="1"/>
    <x v="2"/>
    <x v="0"/>
    <x v="1"/>
    <x v="1"/>
    <x v="0"/>
    <n v="20"/>
    <n v="10"/>
    <n v="20"/>
  </r>
  <r>
    <x v="247"/>
    <x v="236"/>
    <x v="1"/>
    <x v="246"/>
    <x v="0"/>
    <x v="1"/>
    <x v="1"/>
    <x v="1"/>
    <x v="1"/>
    <x v="1"/>
    <n v="0"/>
    <n v="0"/>
    <n v="5"/>
  </r>
  <r>
    <x v="248"/>
    <x v="237"/>
    <x v="0"/>
    <x v="247"/>
    <x v="1"/>
    <x v="0"/>
    <x v="0"/>
    <x v="0"/>
    <x v="0"/>
    <x v="0"/>
    <n v="20"/>
    <n v="20"/>
    <n v="45"/>
  </r>
  <r>
    <x v="249"/>
    <x v="238"/>
    <x v="2"/>
    <x v="248"/>
    <x v="0"/>
    <x v="2"/>
    <x v="2"/>
    <x v="1"/>
    <x v="1"/>
    <x v="0"/>
    <n v="20"/>
    <n v="15"/>
    <n v="15"/>
  </r>
  <r>
    <x v="250"/>
    <x v="239"/>
    <x v="1"/>
    <x v="249"/>
    <x v="1"/>
    <x v="1"/>
    <x v="0"/>
    <x v="1"/>
    <x v="1"/>
    <x v="1"/>
    <n v="0"/>
    <n v="1"/>
    <n v="4"/>
  </r>
  <r>
    <x v="251"/>
    <x v="240"/>
    <x v="0"/>
    <x v="250"/>
    <x v="0"/>
    <x v="0"/>
    <x v="1"/>
    <x v="0"/>
    <x v="0"/>
    <x v="0"/>
    <n v="20"/>
    <n v="3"/>
    <n v="62"/>
  </r>
  <r>
    <x v="252"/>
    <x v="241"/>
    <x v="2"/>
    <x v="251"/>
    <x v="1"/>
    <x v="2"/>
    <x v="0"/>
    <x v="1"/>
    <x v="1"/>
    <x v="0"/>
    <n v="20"/>
    <n v="10"/>
    <n v="20"/>
  </r>
  <r>
    <x v="253"/>
    <x v="242"/>
    <x v="1"/>
    <x v="252"/>
    <x v="0"/>
    <x v="1"/>
    <x v="2"/>
    <x v="1"/>
    <x v="1"/>
    <x v="1"/>
    <n v="0"/>
    <n v="0"/>
    <n v="5"/>
  </r>
  <r>
    <x v="254"/>
    <x v="243"/>
    <x v="0"/>
    <x v="253"/>
    <x v="1"/>
    <x v="0"/>
    <x v="0"/>
    <x v="0"/>
    <x v="0"/>
    <x v="0"/>
    <n v="20"/>
    <n v="15"/>
    <n v="50"/>
  </r>
  <r>
    <x v="255"/>
    <x v="244"/>
    <x v="1"/>
    <x v="254"/>
    <x v="0"/>
    <x v="1"/>
    <x v="0"/>
    <x v="1"/>
    <x v="1"/>
    <x v="1"/>
    <n v="0"/>
    <n v="0"/>
    <n v="5"/>
  </r>
  <r>
    <x v="256"/>
    <x v="245"/>
    <x v="0"/>
    <x v="255"/>
    <x v="1"/>
    <x v="0"/>
    <x v="2"/>
    <x v="0"/>
    <x v="0"/>
    <x v="0"/>
    <n v="20"/>
    <n v="7"/>
    <n v="58"/>
  </r>
  <r>
    <x v="257"/>
    <x v="246"/>
    <x v="2"/>
    <x v="256"/>
    <x v="0"/>
    <x v="2"/>
    <x v="1"/>
    <x v="1"/>
    <x v="1"/>
    <x v="0"/>
    <n v="20"/>
    <n v="10"/>
    <n v="20"/>
  </r>
  <r>
    <x v="258"/>
    <x v="247"/>
    <x v="1"/>
    <x v="257"/>
    <x v="1"/>
    <x v="1"/>
    <x v="2"/>
    <x v="1"/>
    <x v="1"/>
    <x v="1"/>
    <n v="0"/>
    <n v="1"/>
    <n v="4"/>
  </r>
  <r>
    <x v="259"/>
    <x v="248"/>
    <x v="0"/>
    <x v="258"/>
    <x v="0"/>
    <x v="0"/>
    <x v="0"/>
    <x v="0"/>
    <x v="0"/>
    <x v="0"/>
    <n v="20"/>
    <n v="15"/>
    <n v="50"/>
  </r>
  <r>
    <x v="260"/>
    <x v="249"/>
    <x v="2"/>
    <x v="259"/>
    <x v="1"/>
    <x v="2"/>
    <x v="0"/>
    <x v="1"/>
    <x v="1"/>
    <x v="0"/>
    <n v="20"/>
    <n v="5"/>
    <n v="25"/>
  </r>
  <r>
    <x v="261"/>
    <x v="250"/>
    <x v="1"/>
    <x v="260"/>
    <x v="0"/>
    <x v="1"/>
    <x v="1"/>
    <x v="1"/>
    <x v="1"/>
    <x v="1"/>
    <n v="0"/>
    <n v="0"/>
    <n v="5"/>
  </r>
  <r>
    <x v="262"/>
    <x v="251"/>
    <x v="0"/>
    <x v="261"/>
    <x v="1"/>
    <x v="0"/>
    <x v="2"/>
    <x v="0"/>
    <x v="0"/>
    <x v="0"/>
    <n v="20"/>
    <n v="20"/>
    <n v="45"/>
  </r>
  <r>
    <x v="263"/>
    <x v="252"/>
    <x v="2"/>
    <x v="262"/>
    <x v="0"/>
    <x v="2"/>
    <x v="2"/>
    <x v="1"/>
    <x v="1"/>
    <x v="0"/>
    <n v="20"/>
    <n v="12"/>
    <n v="18"/>
  </r>
  <r>
    <x v="264"/>
    <x v="253"/>
    <x v="1"/>
    <x v="263"/>
    <x v="1"/>
    <x v="1"/>
    <x v="0"/>
    <x v="1"/>
    <x v="1"/>
    <x v="1"/>
    <n v="0"/>
    <n v="2"/>
    <n v="3"/>
  </r>
  <r>
    <x v="265"/>
    <x v="254"/>
    <x v="0"/>
    <x v="264"/>
    <x v="0"/>
    <x v="0"/>
    <x v="1"/>
    <x v="0"/>
    <x v="0"/>
    <x v="0"/>
    <n v="20"/>
    <n v="5"/>
    <n v="60"/>
  </r>
  <r>
    <x v="266"/>
    <x v="255"/>
    <x v="2"/>
    <x v="265"/>
    <x v="1"/>
    <x v="2"/>
    <x v="0"/>
    <x v="1"/>
    <x v="1"/>
    <x v="0"/>
    <n v="20"/>
    <n v="10"/>
    <n v="20"/>
  </r>
  <r>
    <x v="267"/>
    <x v="256"/>
    <x v="1"/>
    <x v="266"/>
    <x v="0"/>
    <x v="1"/>
    <x v="2"/>
    <x v="1"/>
    <x v="1"/>
    <x v="1"/>
    <n v="0"/>
    <n v="0"/>
    <n v="5"/>
  </r>
  <r>
    <x v="268"/>
    <x v="257"/>
    <x v="0"/>
    <x v="267"/>
    <x v="1"/>
    <x v="0"/>
    <x v="0"/>
    <x v="0"/>
    <x v="0"/>
    <x v="0"/>
    <n v="20"/>
    <n v="3"/>
    <n v="62"/>
  </r>
  <r>
    <x v="269"/>
    <x v="258"/>
    <x v="2"/>
    <x v="268"/>
    <x v="0"/>
    <x v="2"/>
    <x v="1"/>
    <x v="1"/>
    <x v="1"/>
    <x v="0"/>
    <n v="20"/>
    <n v="15"/>
    <n v="15"/>
  </r>
  <r>
    <x v="270"/>
    <x v="259"/>
    <x v="1"/>
    <x v="269"/>
    <x v="1"/>
    <x v="1"/>
    <x v="0"/>
    <x v="1"/>
    <x v="1"/>
    <x v="1"/>
    <n v="0"/>
    <n v="1"/>
    <n v="4"/>
  </r>
  <r>
    <x v="271"/>
    <x v="260"/>
    <x v="0"/>
    <x v="270"/>
    <x v="0"/>
    <x v="0"/>
    <x v="2"/>
    <x v="0"/>
    <x v="0"/>
    <x v="0"/>
    <n v="20"/>
    <n v="7"/>
    <n v="58"/>
  </r>
  <r>
    <x v="272"/>
    <x v="119"/>
    <x v="2"/>
    <x v="271"/>
    <x v="1"/>
    <x v="2"/>
    <x v="0"/>
    <x v="1"/>
    <x v="1"/>
    <x v="0"/>
    <n v="20"/>
    <n v="10"/>
    <n v="20"/>
  </r>
  <r>
    <x v="273"/>
    <x v="261"/>
    <x v="1"/>
    <x v="272"/>
    <x v="0"/>
    <x v="1"/>
    <x v="1"/>
    <x v="1"/>
    <x v="1"/>
    <x v="1"/>
    <n v="0"/>
    <n v="0"/>
    <n v="5"/>
  </r>
  <r>
    <x v="274"/>
    <x v="262"/>
    <x v="0"/>
    <x v="273"/>
    <x v="1"/>
    <x v="0"/>
    <x v="0"/>
    <x v="0"/>
    <x v="0"/>
    <x v="0"/>
    <n v="20"/>
    <n v="20"/>
    <n v="45"/>
  </r>
  <r>
    <x v="275"/>
    <x v="263"/>
    <x v="2"/>
    <x v="274"/>
    <x v="0"/>
    <x v="2"/>
    <x v="2"/>
    <x v="1"/>
    <x v="1"/>
    <x v="0"/>
    <n v="20"/>
    <n v="15"/>
    <n v="15"/>
  </r>
  <r>
    <x v="276"/>
    <x v="264"/>
    <x v="1"/>
    <x v="275"/>
    <x v="1"/>
    <x v="1"/>
    <x v="0"/>
    <x v="1"/>
    <x v="1"/>
    <x v="1"/>
    <n v="0"/>
    <n v="1"/>
    <n v="4"/>
  </r>
  <r>
    <x v="277"/>
    <x v="265"/>
    <x v="0"/>
    <x v="276"/>
    <x v="0"/>
    <x v="0"/>
    <x v="1"/>
    <x v="0"/>
    <x v="0"/>
    <x v="0"/>
    <n v="20"/>
    <n v="3"/>
    <n v="62"/>
  </r>
  <r>
    <x v="278"/>
    <x v="266"/>
    <x v="2"/>
    <x v="277"/>
    <x v="1"/>
    <x v="2"/>
    <x v="0"/>
    <x v="1"/>
    <x v="1"/>
    <x v="0"/>
    <n v="20"/>
    <n v="10"/>
    <n v="20"/>
  </r>
  <r>
    <x v="279"/>
    <x v="267"/>
    <x v="1"/>
    <x v="278"/>
    <x v="0"/>
    <x v="1"/>
    <x v="2"/>
    <x v="1"/>
    <x v="1"/>
    <x v="1"/>
    <n v="0"/>
    <n v="0"/>
    <n v="5"/>
  </r>
  <r>
    <x v="280"/>
    <x v="268"/>
    <x v="0"/>
    <x v="279"/>
    <x v="1"/>
    <x v="0"/>
    <x v="0"/>
    <x v="0"/>
    <x v="0"/>
    <x v="0"/>
    <n v="20"/>
    <n v="15"/>
    <n v="50"/>
  </r>
  <r>
    <x v="281"/>
    <x v="269"/>
    <x v="2"/>
    <x v="280"/>
    <x v="0"/>
    <x v="2"/>
    <x v="1"/>
    <x v="1"/>
    <x v="1"/>
    <x v="0"/>
    <n v="20"/>
    <n v="15"/>
    <n v="15"/>
  </r>
  <r>
    <x v="282"/>
    <x v="270"/>
    <x v="1"/>
    <x v="281"/>
    <x v="1"/>
    <x v="1"/>
    <x v="0"/>
    <x v="1"/>
    <x v="1"/>
    <x v="1"/>
    <n v="0"/>
    <n v="1"/>
    <n v="4"/>
  </r>
  <r>
    <x v="283"/>
    <x v="271"/>
    <x v="0"/>
    <x v="282"/>
    <x v="0"/>
    <x v="0"/>
    <x v="2"/>
    <x v="0"/>
    <x v="0"/>
    <x v="0"/>
    <n v="20"/>
    <n v="7"/>
    <n v="58"/>
  </r>
  <r>
    <x v="284"/>
    <x v="130"/>
    <x v="2"/>
    <x v="283"/>
    <x v="1"/>
    <x v="2"/>
    <x v="0"/>
    <x v="1"/>
    <x v="1"/>
    <x v="0"/>
    <n v="20"/>
    <n v="10"/>
    <n v="20"/>
  </r>
  <r>
    <x v="285"/>
    <x v="131"/>
    <x v="1"/>
    <x v="284"/>
    <x v="0"/>
    <x v="1"/>
    <x v="1"/>
    <x v="1"/>
    <x v="1"/>
    <x v="1"/>
    <n v="0"/>
    <n v="0"/>
    <n v="5"/>
  </r>
  <r>
    <x v="286"/>
    <x v="181"/>
    <x v="0"/>
    <x v="285"/>
    <x v="1"/>
    <x v="0"/>
    <x v="0"/>
    <x v="0"/>
    <x v="0"/>
    <x v="0"/>
    <n v="20"/>
    <n v="20"/>
    <n v="45"/>
  </r>
  <r>
    <x v="287"/>
    <x v="272"/>
    <x v="2"/>
    <x v="286"/>
    <x v="0"/>
    <x v="2"/>
    <x v="2"/>
    <x v="1"/>
    <x v="1"/>
    <x v="0"/>
    <n v="20"/>
    <n v="12"/>
    <n v="18"/>
  </r>
  <r>
    <x v="288"/>
    <x v="273"/>
    <x v="1"/>
    <x v="287"/>
    <x v="1"/>
    <x v="1"/>
    <x v="0"/>
    <x v="1"/>
    <x v="1"/>
    <x v="1"/>
    <n v="0"/>
    <n v="2"/>
    <n v="3"/>
  </r>
  <r>
    <x v="289"/>
    <x v="274"/>
    <x v="0"/>
    <x v="288"/>
    <x v="0"/>
    <x v="0"/>
    <x v="1"/>
    <x v="0"/>
    <x v="0"/>
    <x v="0"/>
    <n v="20"/>
    <n v="5"/>
    <n v="60"/>
  </r>
  <r>
    <x v="290"/>
    <x v="275"/>
    <x v="2"/>
    <x v="289"/>
    <x v="1"/>
    <x v="2"/>
    <x v="0"/>
    <x v="1"/>
    <x v="1"/>
    <x v="0"/>
    <n v="20"/>
    <n v="10"/>
    <n v="20"/>
  </r>
  <r>
    <x v="291"/>
    <x v="276"/>
    <x v="1"/>
    <x v="290"/>
    <x v="0"/>
    <x v="1"/>
    <x v="2"/>
    <x v="1"/>
    <x v="1"/>
    <x v="1"/>
    <n v="0"/>
    <n v="0"/>
    <n v="5"/>
  </r>
  <r>
    <x v="292"/>
    <x v="277"/>
    <x v="0"/>
    <x v="291"/>
    <x v="1"/>
    <x v="0"/>
    <x v="0"/>
    <x v="0"/>
    <x v="0"/>
    <x v="0"/>
    <n v="20"/>
    <n v="3"/>
    <n v="62"/>
  </r>
  <r>
    <x v="293"/>
    <x v="278"/>
    <x v="2"/>
    <x v="292"/>
    <x v="0"/>
    <x v="2"/>
    <x v="1"/>
    <x v="1"/>
    <x v="1"/>
    <x v="0"/>
    <n v="20"/>
    <n v="15"/>
    <n v="15"/>
  </r>
  <r>
    <x v="294"/>
    <x v="279"/>
    <x v="1"/>
    <x v="293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ABE1F-EB80-4B9B-9727-0AF2C64CAB19}" name="Tabela dinâ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G2:H6" firstHeaderRow="1" firstDataRow="1" firstDataCol="1"/>
  <pivotFields count="15">
    <pivotField axis="axisRow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sd="0" x="1"/>
        <item sd="0" x="2"/>
        <item sd="0"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EC319-79F9-4EC5-825B-0A049CEA32EF}" name="tbl_groiwing_anu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4:B47" firstHeaderRow="1" firstDataRow="1" firstDataCol="1" rowPageCount="1" colPageCount="1"/>
  <pivotFields count="15">
    <pivotField dataField="1" showAll="0"/>
    <pivotField showAll="0"/>
    <pivotField axis="axisPage" showAll="0">
      <items count="4">
        <item x="1"/>
        <item x="2"/>
        <item x="0"/>
        <item t="default"/>
      </items>
    </pivotField>
    <pivotField axis="axisRow" numFmtId="14" showAll="0" avgSubtotal="1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avg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Contagem de Subscriber ID" fld="0" subtotal="count" baseField="14" baseItem="1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BA019-1644-4CFD-AC26-6289D6154632}" name="tbl_a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5:B9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4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F866B-92C0-4EF3-AD32-D7837843B723}" name="tbl_minecraft_pas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4:B2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7B162-A669-425D-801C-19E08951A127}" name="tbl_ea_season_pas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1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999F186-5B91-44B3-B010-EB108BAF406D}" sourceName="Subscription Type">
  <pivotTables>
    <pivotTable tabId="3" name="tbl_anual_total"/>
    <pivotTable tabId="3" name="tbl_ea_season_pass"/>
    <pivotTable tabId="3" name="tbl_minecraft_pass"/>
  </pivotTables>
  <data>
    <tabular pivotCacheId="1695708826" showMissing="0">
      <items count="3">
        <i x="1"/>
        <i x="0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8396992-71FE-4F57-841C-54A4CE6B249F}" sourceName="Plan">
  <pivotTables>
    <pivotTable tabId="3" name="tbl_groiwing_anual"/>
  </pivotTables>
  <data>
    <tabular pivotCacheId="1695708826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E5B537B-8411-477D-A7F8-3B40F3C573C9}" cache="SegmentaçãodeDados_Subscription_Type" caption="Period" style="SlicerStyleLight6" rowHeight="251883"/>
  <slicer name="Plan" xr10:uid="{5B22296C-BB26-4F83-8154-32102B287097}" cache="SegmentaçãodeDados_Plan" caption="Plan" style="SlicerStyleLight6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3057EF-DC9A-4BD9-888D-A21FE5B4E925}" name="Tabela13" displayName="Tabela13" ref="A1:M297" totalsRowCount="1" dataDxfId="26">
  <autoFilter ref="A1:M296" xr:uid="{393057EF-DC9A-4BD9-888D-A21FE5B4E925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1B4920F4-CCE7-43A6-AE52-52361CD66F08}" name="Subscriber ID" dataDxfId="25" totalsRowDxfId="12"/>
    <tableColumn id="2" xr3:uid="{4437ACBC-241E-47DB-A801-6D9C43A33F3C}" name="Name" dataDxfId="24" totalsRowDxfId="11"/>
    <tableColumn id="3" xr3:uid="{3C1760B8-8CDB-4261-AE5D-1D99D97A234C}" name="Plan" dataDxfId="23" totalsRowDxfId="10"/>
    <tableColumn id="4" xr3:uid="{5A11245C-2AC0-48A9-8E38-F8D99EF52551}" name="Start Date" dataDxfId="22" totalsRowDxfId="9"/>
    <tableColumn id="5" xr3:uid="{37212E17-D6E7-471A-BFCA-B75C1481E72D}" name="Auto Renewal" dataDxfId="21" totalsRowDxfId="8"/>
    <tableColumn id="6" xr3:uid="{E4ECAD06-F34A-448F-88EE-BD2AD70A3C08}" name="Subscription Price" dataDxfId="20" totalsRowDxfId="7" dataCellStyle="Moeda" totalsRowCellStyle="Moeda"/>
    <tableColumn id="7" xr3:uid="{A07DD7E3-3E75-4972-BA6D-35BBCE595248}" name="Subscription Type" dataDxfId="19" totalsRowDxfId="6"/>
    <tableColumn id="8" xr3:uid="{4FB27508-9E93-4EC7-880A-E50268C8DDD4}" name="EA Play Season Pass" dataDxfId="18" totalsRowDxfId="5"/>
    <tableColumn id="13" xr3:uid="{E28F0B58-781F-4E7A-8A3C-CC623D5F9E44}" name="EA Play Season Pass_x000a_Price" dataDxfId="17" totalsRowDxfId="4" dataCellStyle="Moeda" totalsRowCellStyle="Moeda"/>
    <tableColumn id="9" xr3:uid="{C9BA921E-0E24-4880-9DC5-662F96232E01}" name="Minecraft Season Pass" dataDxfId="16" totalsRowDxfId="3"/>
    <tableColumn id="10" xr3:uid="{F60CE980-09EA-4D56-A70F-D56AB7FE3D47}" name="Minecraft Season Pass Price" dataDxfId="15" totalsRowDxfId="2" dataCellStyle="Moeda" totalsRowCellStyle="Moeda"/>
    <tableColumn id="11" xr3:uid="{25525E89-05A6-4648-BC38-3898D729F589}" name="Coupon Value" dataDxfId="14" totalsRowDxfId="1" dataCellStyle="Moeda" totalsRowCellStyle="Moeda"/>
    <tableColumn id="12" xr3:uid="{D2BE91D7-D5F6-4EA0-A0DD-8B1758159992}" name="Total Value" totalsRowFunction="sum" dataDxfId="13" totalsRowDxfId="0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19T18:13:02.98" personId="{069E1C1A-C0A6-49A4-B372-7224D351503F}" id="{C7CFA0B0-BC3B-4877-8EF3-72E30D30B88C}">
    <text>Tipo de plano do "netflix de jogos"</text>
  </threadedComment>
  <threadedComment ref="D1" dT="2026-01-19T18:13:18.36" personId="{069E1C1A-C0A6-49A4-B372-7224D351503F}" id="{7132F360-58EC-4856-8ECA-BB89E597934C}">
    <text>Dia de início do plano</text>
  </threadedComment>
  <threadedComment ref="E1" dT="2026-01-19T18:13:52.92" personId="{069E1C1A-C0A6-49A4-B372-7224D351503F}" id="{EC13E2F0-2237-42AA-9A77-416FCA828735}">
    <text>É automaticamente renovado o plano?</text>
  </threadedComment>
  <threadedComment ref="H1" dT="2026-01-19T18:16:14.71" personId="{069E1C1A-C0A6-49A4-B372-7224D351503F}" id="{6D1613BC-2145-49F3-A8D3-4CCB919B0D31}">
    <text>Adicional de assinatura foi adquirida?</text>
  </threadedComment>
  <threadedComment ref="J1" dT="2026-01-19T18:17:28.61" personId="{069E1C1A-C0A6-49A4-B372-7224D351503F}" id="{CF5C53AC-D029-4F04-BDA6-F7145EAA520E}">
    <text>Inclusão da assinatura do Minecraft?</text>
  </threadedComment>
  <threadedComment ref="L1" dT="2026-01-19T18:17:40.19" personId="{069E1C1A-C0A6-49A4-B372-7224D351503F}" id="{CD92940C-4C57-4D4D-B248-10561C7133AE}">
    <text>Cupom de desconto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" zoomScale="70" zoomScaleNormal="70" workbookViewId="0">
      <selection activeCell="B7" sqref="B7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P297"/>
  <sheetViews>
    <sheetView topLeftCell="A203" zoomScale="70" zoomScaleNormal="70" workbookViewId="0">
      <selection activeCell="M295" sqref="M2:M295"/>
    </sheetView>
  </sheetViews>
  <sheetFormatPr defaultColWidth="16.1796875" defaultRowHeight="14.5" x14ac:dyDescent="0.35"/>
  <cols>
    <col min="12" max="12" width="17.7265625" bestFit="1" customWidth="1"/>
    <col min="13" max="13" width="15.1796875" style="16" bestFit="1" customWidth="1"/>
    <col min="14" max="14" width="2.26953125" customWidth="1"/>
  </cols>
  <sheetData>
    <row r="1" spans="1:16" ht="50.5" customHeight="1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20" t="s">
        <v>33</v>
      </c>
    </row>
    <row r="2" spans="1:16" ht="17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6" ht="17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6" ht="17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6" ht="17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6" ht="17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6" ht="17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6" ht="17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6" ht="17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6" ht="16.5" hidden="1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6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6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6" ht="17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P13" s="13"/>
    </row>
    <row r="14" spans="1:16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6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6" ht="16.5" hidden="1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5" ht="17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5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5" ht="16.5" hidden="1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5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5" ht="17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O21" s="13"/>
    </row>
    <row r="22" spans="1:15" ht="16.5" hidden="1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5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5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5" ht="17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5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5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5" ht="16.5" hidden="1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5" ht="17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5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5" ht="16.5" hidden="1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5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7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7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7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7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7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7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7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7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7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7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7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7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7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7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7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7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7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7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7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7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7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7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7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7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7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7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7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7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7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7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7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7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7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7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7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7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7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7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7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7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7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7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7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7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7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7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7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7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7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7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7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7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7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7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297" spans="1:13" x14ac:dyDescent="0.35">
      <c r="A297" s="8"/>
      <c r="B297" s="8"/>
      <c r="C297" s="8"/>
      <c r="D297" s="8"/>
      <c r="E297" s="8"/>
      <c r="F297" s="11"/>
      <c r="G297" s="8"/>
      <c r="H297" s="8"/>
      <c r="I297" s="11"/>
      <c r="J297" s="8"/>
      <c r="K297" s="11"/>
      <c r="L297" s="11"/>
      <c r="M297" s="11">
        <f>SUBTOTAL(109,Tabela13[Total Value])</f>
        <v>1771</v>
      </c>
    </row>
  </sheetData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I203"/>
  <sheetViews>
    <sheetView showGridLines="0" zoomScaleNormal="100" workbookViewId="0">
      <selection activeCell="O46" sqref="O46"/>
    </sheetView>
  </sheetViews>
  <sheetFormatPr defaultRowHeight="14.5" x14ac:dyDescent="0.35"/>
  <cols>
    <col min="1" max="1" width="17" bestFit="1" customWidth="1"/>
    <col min="2" max="2" width="23.7265625" bestFit="1" customWidth="1"/>
    <col min="3" max="3" width="18.36328125" bestFit="1" customWidth="1"/>
    <col min="4" max="4" width="15" customWidth="1"/>
    <col min="5" max="5" width="10.90625" customWidth="1"/>
    <col min="6" max="6" width="18.36328125" bestFit="1" customWidth="1"/>
    <col min="7" max="7" width="17" bestFit="1" customWidth="1"/>
    <col min="8" max="8" width="17.7265625" bestFit="1" customWidth="1"/>
    <col min="9" max="294" width="18.36328125" bestFit="1" customWidth="1"/>
    <col min="295" max="296" width="9.7265625" bestFit="1" customWidth="1"/>
    <col min="297" max="297" width="10.26953125" bestFit="1" customWidth="1"/>
    <col min="298" max="298" width="12.54296875" bestFit="1" customWidth="1"/>
    <col min="299" max="592" width="15.81640625" bestFit="1" customWidth="1"/>
    <col min="593" max="593" width="9.7265625" bestFit="1" customWidth="1"/>
  </cols>
  <sheetData>
    <row r="1" spans="1:8" x14ac:dyDescent="0.35">
      <c r="A1" t="s">
        <v>316</v>
      </c>
      <c r="G1" t="s">
        <v>341</v>
      </c>
      <c r="H1" s="13">
        <f>GETPIVOTDATA("Total Value",$G$2)</f>
        <v>7633</v>
      </c>
    </row>
    <row r="2" spans="1:8" x14ac:dyDescent="0.35">
      <c r="A2" t="s">
        <v>317</v>
      </c>
      <c r="G2" s="12" t="s">
        <v>314</v>
      </c>
      <c r="H2" t="s">
        <v>313</v>
      </c>
    </row>
    <row r="3" spans="1:8" x14ac:dyDescent="0.35">
      <c r="G3" s="14" t="s">
        <v>22</v>
      </c>
      <c r="H3" s="13">
        <v>444</v>
      </c>
    </row>
    <row r="4" spans="1:8" x14ac:dyDescent="0.35">
      <c r="G4" s="14" t="s">
        <v>26</v>
      </c>
      <c r="H4" s="13">
        <v>1801</v>
      </c>
    </row>
    <row r="5" spans="1:8" x14ac:dyDescent="0.35">
      <c r="A5" s="12" t="s">
        <v>314</v>
      </c>
      <c r="B5" t="s">
        <v>313</v>
      </c>
      <c r="G5" s="14" t="s">
        <v>18</v>
      </c>
      <c r="H5" s="13">
        <v>5388</v>
      </c>
    </row>
    <row r="6" spans="1:8" x14ac:dyDescent="0.35">
      <c r="A6" s="14" t="s">
        <v>27</v>
      </c>
      <c r="B6" s="13">
        <v>2308</v>
      </c>
      <c r="G6" s="14" t="s">
        <v>315</v>
      </c>
      <c r="H6" s="13">
        <v>7633</v>
      </c>
    </row>
    <row r="7" spans="1:8" x14ac:dyDescent="0.35">
      <c r="A7" s="15" t="s">
        <v>23</v>
      </c>
      <c r="B7" s="13">
        <v>806</v>
      </c>
    </row>
    <row r="8" spans="1:8" x14ac:dyDescent="0.35">
      <c r="A8" s="15" t="s">
        <v>19</v>
      </c>
      <c r="B8" s="13">
        <v>1502</v>
      </c>
    </row>
    <row r="9" spans="1:8" x14ac:dyDescent="0.35">
      <c r="A9" s="14" t="s">
        <v>315</v>
      </c>
      <c r="B9" s="13">
        <v>2308</v>
      </c>
    </row>
    <row r="11" spans="1:8" x14ac:dyDescent="0.35">
      <c r="A11" t="s">
        <v>324</v>
      </c>
    </row>
    <row r="12" spans="1:8" x14ac:dyDescent="0.35">
      <c r="A12" s="12" t="s">
        <v>16</v>
      </c>
      <c r="B12" t="s">
        <v>27</v>
      </c>
    </row>
    <row r="14" spans="1:8" x14ac:dyDescent="0.35">
      <c r="A14" s="12" t="s">
        <v>314</v>
      </c>
      <c r="B14" t="s">
        <v>318</v>
      </c>
      <c r="D14" t="s">
        <v>320</v>
      </c>
    </row>
    <row r="15" spans="1:8" x14ac:dyDescent="0.35">
      <c r="A15" s="14" t="s">
        <v>22</v>
      </c>
      <c r="B15" s="18">
        <v>0</v>
      </c>
      <c r="D15" s="16">
        <f>GETPIVOTDATA("EA Play Season Pass
Price",$A$14)</f>
        <v>990</v>
      </c>
    </row>
    <row r="16" spans="1:8" x14ac:dyDescent="0.35">
      <c r="A16" s="14" t="s">
        <v>26</v>
      </c>
      <c r="B16" s="18">
        <v>0</v>
      </c>
      <c r="D16" t="s">
        <v>319</v>
      </c>
    </row>
    <row r="17" spans="1:4" x14ac:dyDescent="0.35">
      <c r="A17" s="14" t="s">
        <v>18</v>
      </c>
      <c r="B17" s="18">
        <v>990</v>
      </c>
    </row>
    <row r="18" spans="1:4" x14ac:dyDescent="0.35">
      <c r="A18" s="14" t="s">
        <v>315</v>
      </c>
      <c r="B18" s="18">
        <v>990</v>
      </c>
    </row>
    <row r="20" spans="1:4" x14ac:dyDescent="0.35">
      <c r="A20" s="14" t="s">
        <v>325</v>
      </c>
    </row>
    <row r="22" spans="1:4" x14ac:dyDescent="0.35">
      <c r="A22" s="12" t="s">
        <v>16</v>
      </c>
      <c r="B22" t="s">
        <v>27</v>
      </c>
    </row>
    <row r="24" spans="1:4" x14ac:dyDescent="0.35">
      <c r="A24" s="12" t="s">
        <v>314</v>
      </c>
      <c r="B24" t="s">
        <v>321</v>
      </c>
      <c r="D24" t="s">
        <v>322</v>
      </c>
    </row>
    <row r="25" spans="1:4" x14ac:dyDescent="0.35">
      <c r="A25" s="14" t="s">
        <v>22</v>
      </c>
      <c r="B25" s="13">
        <v>0</v>
      </c>
      <c r="D25" s="16">
        <f>GETPIVOTDATA("Minecraft Season Pass Price",$A$24)</f>
        <v>1140</v>
      </c>
    </row>
    <row r="26" spans="1:4" x14ac:dyDescent="0.35">
      <c r="A26" s="14" t="s">
        <v>26</v>
      </c>
      <c r="B26" s="13">
        <v>480</v>
      </c>
    </row>
    <row r="27" spans="1:4" x14ac:dyDescent="0.35">
      <c r="A27" s="14" t="s">
        <v>18</v>
      </c>
      <c r="B27" s="13">
        <v>660</v>
      </c>
    </row>
    <row r="28" spans="1:4" x14ac:dyDescent="0.35">
      <c r="A28" s="14" t="s">
        <v>315</v>
      </c>
      <c r="B28" s="13">
        <v>1140</v>
      </c>
    </row>
    <row r="31" spans="1:4" x14ac:dyDescent="0.35">
      <c r="A31" s="14" t="s">
        <v>326</v>
      </c>
    </row>
    <row r="32" spans="1:4" x14ac:dyDescent="0.35">
      <c r="A32" s="12" t="s">
        <v>13</v>
      </c>
      <c r="B32" t="s">
        <v>340</v>
      </c>
    </row>
    <row r="34" spans="1:2" x14ac:dyDescent="0.35">
      <c r="A34" s="12" t="s">
        <v>314</v>
      </c>
      <c r="B34" t="s">
        <v>339</v>
      </c>
    </row>
    <row r="35" spans="1:2" x14ac:dyDescent="0.35">
      <c r="A35" s="14" t="s">
        <v>327</v>
      </c>
      <c r="B35" s="18">
        <v>2</v>
      </c>
    </row>
    <row r="36" spans="1:2" x14ac:dyDescent="0.35">
      <c r="A36" s="14" t="s">
        <v>328</v>
      </c>
      <c r="B36" s="18">
        <v>2</v>
      </c>
    </row>
    <row r="37" spans="1:2" x14ac:dyDescent="0.35">
      <c r="A37" s="14" t="s">
        <v>329</v>
      </c>
      <c r="B37" s="18">
        <v>31</v>
      </c>
    </row>
    <row r="38" spans="1:2" x14ac:dyDescent="0.35">
      <c r="A38" s="14" t="s">
        <v>330</v>
      </c>
      <c r="B38" s="18">
        <v>30</v>
      </c>
    </row>
    <row r="39" spans="1:2" x14ac:dyDescent="0.35">
      <c r="A39" s="14" t="s">
        <v>331</v>
      </c>
      <c r="B39" s="18">
        <v>31</v>
      </c>
    </row>
    <row r="40" spans="1:2" x14ac:dyDescent="0.35">
      <c r="A40" s="14" t="s">
        <v>332</v>
      </c>
      <c r="B40" s="18">
        <v>30</v>
      </c>
    </row>
    <row r="41" spans="1:2" x14ac:dyDescent="0.35">
      <c r="A41" s="14" t="s">
        <v>333</v>
      </c>
      <c r="B41" s="18">
        <v>31</v>
      </c>
    </row>
    <row r="42" spans="1:2" x14ac:dyDescent="0.35">
      <c r="A42" s="14" t="s">
        <v>334</v>
      </c>
      <c r="B42" s="18">
        <v>31</v>
      </c>
    </row>
    <row r="43" spans="1:2" x14ac:dyDescent="0.35">
      <c r="A43" s="14" t="s">
        <v>335</v>
      </c>
      <c r="B43" s="18">
        <v>30</v>
      </c>
    </row>
    <row r="44" spans="1:2" x14ac:dyDescent="0.35">
      <c r="A44" s="14" t="s">
        <v>336</v>
      </c>
      <c r="B44" s="18">
        <v>31</v>
      </c>
    </row>
    <row r="45" spans="1:2" x14ac:dyDescent="0.35">
      <c r="A45" s="14" t="s">
        <v>337</v>
      </c>
      <c r="B45" s="18">
        <v>30</v>
      </c>
    </row>
    <row r="46" spans="1:2" x14ac:dyDescent="0.35">
      <c r="A46" s="14" t="s">
        <v>338</v>
      </c>
      <c r="B46" s="18">
        <v>16</v>
      </c>
    </row>
    <row r="47" spans="1:2" x14ac:dyDescent="0.35">
      <c r="A47" s="14" t="s">
        <v>315</v>
      </c>
      <c r="B47" s="18">
        <v>295</v>
      </c>
    </row>
    <row r="203" spans="9:9" x14ac:dyDescent="0.35">
      <c r="I203" s="13">
        <f>SUM(H203:H300)</f>
        <v>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D23"/>
  <sheetViews>
    <sheetView showGridLines="0" showRowColHeaders="0" tabSelected="1" zoomScale="50" zoomScaleNormal="50" workbookViewId="0">
      <selection activeCell="Z46" sqref="Z46"/>
    </sheetView>
  </sheetViews>
  <sheetFormatPr defaultRowHeight="14.5" x14ac:dyDescent="0.35"/>
  <cols>
    <col min="1" max="1" width="29.81640625" style="4" customWidth="1"/>
    <col min="2" max="2" width="3.54296875" style="7" customWidth="1"/>
    <col min="3" max="11" width="8.7265625" style="7"/>
    <col min="12" max="12" width="6.54296875" style="7" customWidth="1"/>
    <col min="13" max="16384" width="8.7265625" style="7"/>
  </cols>
  <sheetData>
    <row r="1" spans="1:22" s="17" customFormat="1" x14ac:dyDescent="0.35">
      <c r="A1" s="4"/>
    </row>
    <row r="2" spans="1:22" s="17" customFormat="1" ht="39" customHeight="1" thickBot="1" x14ac:dyDescent="0.65">
      <c r="A2" s="4"/>
      <c r="C2" s="19" t="s">
        <v>323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s="17" customFormat="1" ht="8.25" customHeight="1" thickTop="1" x14ac:dyDescent="0.35">
      <c r="A3" s="4"/>
    </row>
    <row r="4" spans="1:22" ht="7.5" customHeight="1" x14ac:dyDescent="0.35"/>
    <row r="5" spans="1:22" ht="10.5" customHeight="1" x14ac:dyDescent="0.35"/>
    <row r="6" spans="1:22" ht="9.75" customHeight="1" x14ac:dyDescent="0.35"/>
    <row r="7" spans="1:22" ht="33" customHeight="1" x14ac:dyDescent="0.35"/>
    <row r="23" spans="30:30" x14ac:dyDescent="0.35">
      <c r="AD23" s="21"/>
    </row>
  </sheetData>
  <mergeCells count="1">
    <mergeCell ref="C2:V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Inayara Regina Faustino</cp:lastModifiedBy>
  <dcterms:created xsi:type="dcterms:W3CDTF">2024-12-19T13:13:10Z</dcterms:created>
  <dcterms:modified xsi:type="dcterms:W3CDTF">2026-01-20T03:22:10Z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